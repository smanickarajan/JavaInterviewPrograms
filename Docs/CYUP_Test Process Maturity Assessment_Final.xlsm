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564CA151-5A5B-428A-3C10-77597649240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Current Projects\Strategic Solutions\Test Practice Evolution &amp; Improvements\Completed\"/>
    </mc:Choice>
  </mc:AlternateContent>
  <xr:revisionPtr revIDLastSave="0" documentId="13_ncr:1_{6C00BA48-64B4-4CDE-85FE-B77EF5A5172D}" xr6:coauthVersionLast="45" xr6:coauthVersionMax="45" xr10:uidLastSave="{00000000-0000-0000-0000-000000000000}"/>
  <bookViews>
    <workbookView xWindow="-110" yWindow="-110" windowWidth="19420" windowHeight="10420" tabRatio="834" xr2:uid="{00000000-000D-0000-FFFF-FFFF00000000}"/>
  </bookViews>
  <sheets>
    <sheet name="TPM" sheetId="15" r:id="rId1"/>
    <sheet name="Overall Average" sheetId="17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3" i="15" l="1"/>
  <c r="E42" i="15"/>
  <c r="E39" i="15"/>
  <c r="E38" i="15"/>
  <c r="E35" i="15"/>
  <c r="E34" i="15"/>
  <c r="E31" i="15"/>
  <c r="E30" i="15"/>
  <c r="E29" i="15"/>
  <c r="E28" i="15"/>
  <c r="E27" i="15"/>
  <c r="E26" i="15"/>
  <c r="E25" i="15"/>
  <c r="E24" i="15"/>
  <c r="E23" i="15"/>
  <c r="E22" i="15"/>
  <c r="E21" i="15"/>
  <c r="E18" i="15"/>
  <c r="E17" i="15"/>
  <c r="E14" i="15"/>
  <c r="E13" i="15"/>
  <c r="E12" i="15"/>
  <c r="E11" i="15"/>
  <c r="E8" i="15"/>
  <c r="C44" i="15" l="1"/>
  <c r="C40" i="15"/>
  <c r="C36" i="15"/>
  <c r="C19" i="15"/>
  <c r="N8" i="17" l="1"/>
  <c r="E44" i="15"/>
  <c r="N7" i="17"/>
  <c r="E40" i="15"/>
  <c r="N6" i="17"/>
  <c r="E36" i="15"/>
  <c r="N4" i="17"/>
  <c r="E19" i="15"/>
  <c r="C32" i="15"/>
  <c r="C15" i="15"/>
  <c r="C9" i="15"/>
  <c r="N3" i="17" l="1"/>
  <c r="E15" i="15"/>
  <c r="N2" i="17"/>
  <c r="E9" i="15"/>
  <c r="N5" i="17"/>
  <c r="E32" i="15"/>
  <c r="C46" i="15"/>
  <c r="E46" i="15" l="1"/>
  <c r="N9" i="17"/>
</calcChain>
</file>

<file path=xl/sharedStrings.xml><?xml version="1.0" encoding="utf-8"?>
<sst xmlns="http://schemas.openxmlformats.org/spreadsheetml/2006/main" count="183" uniqueCount="155">
  <si>
    <t>Test Process Maturity Matrix</t>
  </si>
  <si>
    <t xml:space="preserve">Team Name: </t>
  </si>
  <si>
    <t>Date:</t>
  </si>
  <si>
    <t>Impeded</t>
  </si>
  <si>
    <t>Performing</t>
  </si>
  <si>
    <t>Exceeding</t>
  </si>
  <si>
    <t>Test Phase</t>
  </si>
  <si>
    <t>Main Area</t>
  </si>
  <si>
    <t>Current Level</t>
  </si>
  <si>
    <t>Target Level</t>
  </si>
  <si>
    <t>Level 1</t>
  </si>
  <si>
    <t>Level 2</t>
  </si>
  <si>
    <t>Level 3</t>
  </si>
  <si>
    <t>Comments</t>
  </si>
  <si>
    <t>Test Methodology</t>
  </si>
  <si>
    <t>Methodology</t>
  </si>
  <si>
    <t>Test Methodology - Average</t>
  </si>
  <si>
    <t>Test Planning</t>
  </si>
  <si>
    <t>Test Environments</t>
  </si>
  <si>
    <t>Test Data</t>
  </si>
  <si>
    <t>Test Estimation</t>
  </si>
  <si>
    <t>• No structured estimation is in place
• Basic estimates given for features planned for each sprint</t>
  </si>
  <si>
    <t>Test Planning - Average</t>
  </si>
  <si>
    <t>Test Designing</t>
  </si>
  <si>
    <t xml:space="preserve">Test Coverage  </t>
  </si>
  <si>
    <t>Test Designing - Average</t>
  </si>
  <si>
    <t>Test Execution</t>
  </si>
  <si>
    <t>Static Testing</t>
  </si>
  <si>
    <t xml:space="preserve">Unit Testing </t>
  </si>
  <si>
    <t xml:space="preserve">Functional </t>
  </si>
  <si>
    <t>Exploratory</t>
  </si>
  <si>
    <t>UAT</t>
  </si>
  <si>
    <t>Regression</t>
  </si>
  <si>
    <t>Non-Functional Testing</t>
  </si>
  <si>
    <t>Mobile Testing</t>
  </si>
  <si>
    <t xml:space="preserve">Accessibility </t>
  </si>
  <si>
    <t>E2E Testing</t>
  </si>
  <si>
    <t>Defect Management</t>
  </si>
  <si>
    <t>Test Execution - Average</t>
  </si>
  <si>
    <t>Test Closure</t>
  </si>
  <si>
    <t>Test Closure - Average</t>
  </si>
  <si>
    <t>Test Automation</t>
  </si>
  <si>
    <t>DevOps pipeline</t>
  </si>
  <si>
    <t>Test Automation - Average</t>
  </si>
  <si>
    <t>Metrics &amp; Reporting</t>
  </si>
  <si>
    <t>KPI Metrics</t>
  </si>
  <si>
    <t>Reports</t>
  </si>
  <si>
    <t>Metrics &amp; Reporting - Average</t>
  </si>
  <si>
    <t>Overall Average</t>
  </si>
  <si>
    <t>• No Mobile app testing practice/capability.</t>
  </si>
  <si>
    <t>• No reporting or random reporting</t>
  </si>
  <si>
    <t>• Standard reports are defined and followed</t>
  </si>
  <si>
    <t>QGR  &amp; Sign off</t>
  </si>
  <si>
    <t>QA Review &amp; Demo</t>
  </si>
  <si>
    <t xml:space="preserve">• Test coverage is not measured </t>
  </si>
  <si>
    <t>Test Case design &amp; Management</t>
  </si>
  <si>
    <t>• No formal QA review and demo</t>
  </si>
  <si>
    <t xml:space="preserve">• QA review is included in Sprint Demo
</t>
  </si>
  <si>
    <t>• Quality gate report is not a mandatory deliverable</t>
  </si>
  <si>
    <t xml:space="preserve">• QGR is a mandatory deliverable after each testing stage
</t>
  </si>
  <si>
    <t>Test Reporting</t>
  </si>
  <si>
    <t>Area</t>
  </si>
  <si>
    <t>Average Score</t>
  </si>
  <si>
    <t>Gap</t>
  </si>
  <si>
    <t xml:space="preserve">3 Months </t>
  </si>
  <si>
    <t>6 Months</t>
  </si>
  <si>
    <t xml:space="preserve">9 Months </t>
  </si>
  <si>
    <t xml:space="preserve">12 Months </t>
  </si>
  <si>
    <t>N/A</t>
  </si>
  <si>
    <t>NA</t>
  </si>
  <si>
    <t>No Continuous deployments there.</t>
  </si>
  <si>
    <t xml:space="preserve">Only security testing </t>
  </si>
  <si>
    <t xml:space="preserve">• Team has maturity/mastery of the mechanics of a specific Agile methodology (such as Scrum, Kanban, SAFe) etc. 
• Team has matured to realign test strategy as per program/product needs. 
</t>
  </si>
  <si>
    <t xml:space="preserve">• Functional testing activity is ad-hoc and not consistent.
</t>
  </si>
  <si>
    <t xml:space="preserve">• Exploratory testing is not performed 
</t>
  </si>
  <si>
    <t>• No E2E testing practice is in place</t>
  </si>
  <si>
    <t xml:space="preserve">• Defects are not logged &amp; tracked regularly.
</t>
  </si>
  <si>
    <t xml:space="preserve">• Report generation is automated.
• Reports are analysed to study trends and to plan for improvements
</t>
  </si>
  <si>
    <t>Overall</t>
  </si>
  <si>
    <t xml:space="preserve">Only Security testing is in scope. </t>
  </si>
  <si>
    <t>Test Strategy/Policy</t>
  </si>
  <si>
    <t>Test data requirements are available with test cases</t>
  </si>
  <si>
    <t>White box testing is not applicable for Cyber security testing</t>
  </si>
  <si>
    <t>No functional testing to demo</t>
  </si>
  <si>
    <t>Only pen testing fixes, no requirements</t>
  </si>
  <si>
    <t xml:space="preserve">• Regression testing is an ad-hoc activity with compact coverage
• Regression Test pack is not available and test results may not be documented and relies on knowledge for analyst.
</t>
  </si>
  <si>
    <t>Not continuous deployment, hence no CI/CD pipeline.</t>
  </si>
  <si>
    <t>• Dedicated environments are available for DEV/QAT/UAT stages as per requirement &amp; purpose.
• PaaS fully utilised with automated regression tests being triggered at each release gate through to production</t>
  </si>
  <si>
    <t>Coverage is not documented and measured as pre and post testing is done.</t>
  </si>
  <si>
    <t xml:space="preserve">Currently execution report is shared over email. No standard sign off process is followed. </t>
  </si>
  <si>
    <t>Strategy document is created but not updated. Manick to ensure that this document is updated and version controlled.</t>
  </si>
  <si>
    <t>Pen testing defects are logged in VMS</t>
  </si>
  <si>
    <t>Updating of regression automated pack is required.
Regression packs are 100% Automated.</t>
  </si>
  <si>
    <t>Assessed By</t>
  </si>
  <si>
    <t>Reviewed By</t>
  </si>
  <si>
    <t>CYBER SECURITY</t>
  </si>
  <si>
    <t>Manickrajan</t>
  </si>
  <si>
    <t>Mark, Graham, JP</t>
  </si>
  <si>
    <t xml:space="preserve">Kanban Board is available but not efficiently </t>
  </si>
  <si>
    <t>No Estimation method in place at the moment as team is dealing with multiple technologies and applications. Estimation guidelines will value add to ensure more accurate estimation.</t>
  </si>
  <si>
    <t xml:space="preserve">• Not working in an Agile way. 
• Team has NOT developed &amp; implemented an Agile test strategy. 
</t>
  </si>
  <si>
    <t xml:space="preserve">• Following Agile methodology partially
• Following some of the mechanics of a specific Agile methodology (such as Scrum, Kanban, SAFe) etc. for Some products/teams
• Team has developed &amp; implemented an Agile test strategy. 
</t>
  </si>
  <si>
    <t xml:space="preserve">• No defined Test Strategy/policy in place
</t>
  </si>
  <si>
    <t xml:space="preserve">• Centralised test strategy with partial adoption
• Test strategy is in place in certain areas of testing, such as manual but is missing from other areas.
• Test strategy is not continuously reviewed as projects are completed.
</t>
  </si>
  <si>
    <t xml:space="preserve">• Fully adapted centralised test strategy with regular reviews 
• Separate strategy has been outlined for various areas:
       Functional Testing
       Non-functional Testing
       Automation
       Regression
       Test Environment needs 
       Test Data Creation and reuse
 • Test Strategies are regularly reviewed to keep it up to date with Industry standard changes
      </t>
  </si>
  <si>
    <t xml:space="preserve">• No dedicated TEST environment is available
</t>
  </si>
  <si>
    <t xml:space="preserve">• No test data availability
• Generic test data used isn't specifically designed to support the execution of tests. 
</t>
  </si>
  <si>
    <t xml:space="preserve">• Test data is partially available or can be fabricated as per test scenarios
</t>
  </si>
  <si>
    <t xml:space="preserve">• Full test data coverage for all testing (Functional/NFT/Regression/UAT/E2E) 
• Static test data is widely supported across the company. It is managed centrally and archived where necessary.
• Both e2e test data and mocked data available for all development phases.
• Test Data requirements are identified as per product/program need in Test Strategy/plan 
</t>
  </si>
  <si>
    <t xml:space="preserve">• Test Estimation technique is defined but not consistently followed
</t>
  </si>
  <si>
    <t xml:space="preserve">• Test Estimation technique consistently followed &amp; Estimation accuracy is measured after each Sprint for improvement
</t>
  </si>
  <si>
    <t xml:space="preserve">• Test coverage is measured and but is less than agreed %
</t>
  </si>
  <si>
    <t>• Test coverage meets the agreed % and is reviewed &amp; approved by Business</t>
  </si>
  <si>
    <t>• Test scenarios/cases are not documented</t>
  </si>
  <si>
    <t xml:space="preserve">• Test cases are created and managed in tools 
</t>
  </si>
  <si>
    <t xml:space="preserve">• Test case are reviewed and Optimised at frequent intervals 
•  Specification or black box based techniques are used (such as Boundary Value Analysis, Decision Tables, State Transition or Use Cases) 
• Structure based or White box testing techniques are used (such as Statement and Decision Testing)
</t>
  </si>
  <si>
    <t>• No Story review, Code review &amp; risk assessment</t>
  </si>
  <si>
    <t>• Stories are formally reviewed, refined and risk assessed 
• Formal code reviews and Inspection happens</t>
  </si>
  <si>
    <t xml:space="preserve">• Stories are formally reviewed using INVEST principles            
• Code Walkthroughs happens
</t>
  </si>
  <si>
    <t>Unit testing is not performed</t>
  </si>
  <si>
    <t xml:space="preserve">• Unit testing is performed but coverage is less than agreed %
• Unit tests are integrated with the CI build process. </t>
  </si>
  <si>
    <t xml:space="preserve">• Unit Test coverage meets the agreed % and internal standards are followed  
• TDD/BDD principles in place. Tests are created before the implementation and feature is deemed complete when these are passing.
</t>
  </si>
  <si>
    <t xml:space="preserve">• Functional testing is performed mandatorily fully aligned with stories.
• Testing is correctly broken down to where the tests would provide the most value. 
</t>
  </si>
  <si>
    <t xml:space="preserve">• Functional testing are constantly reviewed and improved
• BDD /TDD is set out for the functional requirements (if feasible)
</t>
  </si>
  <si>
    <t xml:space="preserve">• Exploratory testing is done partially and is not documented
• Results are inspected and subsequent defects raised.
</t>
  </si>
  <si>
    <t>• Exploratory testing is fully adopted and is documented
• Exploratory test charter is created (optional)
• Test results are analysed and defects are raised.</t>
  </si>
  <si>
    <t xml:space="preserve">• UAT is not performed
</t>
  </si>
  <si>
    <t xml:space="preserve">• UAT is performed but not necessarily by Business/Client &amp; overlapping QAT/UAT
</t>
  </si>
  <si>
    <t xml:space="preserve">• UAT is mandatorily performed by Business/Client for real business scenarios 
• UAT commences after Functional &amp; Regression testing is completed.
• A separate production-like environment is set up for UAT (preferably copy of live data).
</t>
  </si>
  <si>
    <t xml:space="preserve">• Regression testing is performed mandatorily but coverage is less than agreed %
• A risk based approach is taken to run regression tests against targeted areas
</t>
  </si>
  <si>
    <t xml:space="preserve">• Regression Test coverage meets the agreed % and pack is frequently reviewed and updated
</t>
  </si>
  <si>
    <t xml:space="preserve">• Non-functional testing is not performed.
</t>
  </si>
  <si>
    <t xml:space="preserve">• NFT is done occasionally or at least before product/app first launch
</t>
  </si>
  <si>
    <t>• Non-functional testing is performed on agreed interims as per NFRs
• The organisation maintains relationships with several technology partners for non-functional testing requirements.</t>
  </si>
  <si>
    <t>• Mobile app testing is performed manually</t>
  </si>
  <si>
    <t xml:space="preserve">• Mobile app testing is automated
• Scripts can be run on the cloud lab to gain extensive handsets &amp; OS test coverage. </t>
  </si>
  <si>
    <t xml:space="preserve">• No accessibility testing in place
</t>
  </si>
  <si>
    <t xml:space="preserve">• Accessibility Testing is partially done and manually
</t>
  </si>
  <si>
    <t xml:space="preserve">• Full adoption of Accessibility testing &amp; tools are being used
</t>
  </si>
  <si>
    <t xml:space="preserve">• E2E testing is performed but no process is defined and followed
</t>
  </si>
  <si>
    <t xml:space="preserve">• E2E testing process is streamlined-system flow, test data, test coverage, coordination
• End-to-end testing is performed ensuring that data integrity is maintained between various system components and systems.
</t>
  </si>
  <si>
    <t xml:space="preserve">• Defects are logged and tracked in tools and defects SLAs are well defined based on Priority and Severity
</t>
  </si>
  <si>
    <t xml:space="preserve">• Trend analysis of defects metrics and patterns to implement defect prevention
</t>
  </si>
  <si>
    <t xml:space="preserve">• QA demos the level of testing, automation and test evaluation at frequent intervals
</t>
  </si>
  <si>
    <t xml:space="preserve">• QGR is approved and is mandatory for Go No-Go decisions
• QGR and Official sign off emails are attached to corresponding JIRA before moving it to DONE status
</t>
  </si>
  <si>
    <t xml:space="preserve">• Automation is &lt; 80% 
</t>
  </si>
  <si>
    <t xml:space="preserve">• Automation is 80% or more
</t>
  </si>
  <si>
    <t xml:space="preserve">• Automation is 100% &amp; regular checks to Automation coverage
• The team following the industry best practices around Automation testing like code review, code refactoring, result analysis, synchronisation policy, etc.
• The team has regular reports to check the Automation coverage across environments as well as ROI of automation.
</t>
  </si>
  <si>
    <t xml:space="preserve">• Application deployment is Manual
</t>
  </si>
  <si>
    <t xml:space="preserve">• Application deployment is partially Automated
• Still some manual invention required for steps of the deployment process, it isn't deemed as continuous at this point.
</t>
  </si>
  <si>
    <t>• CI/CD pipeline is fully automated and integrated with other parts of company software infrastructure.
• The team is constantly reviewing all the processes across the DevOps space.</t>
  </si>
  <si>
    <t>• KPIs are recorded at Team Level and are in line with Strategy</t>
  </si>
  <si>
    <t>• KPIS are recorded &amp; reported at organisation level and are reviewed for Trend analysis and improvements</t>
  </si>
  <si>
    <t>• No Testing KPIs or partial testing KPIs are defined &amp; captured</t>
  </si>
  <si>
    <t xml:space="preserve">• TEST Env. is available but shared between Testing stages 
• No PROD like environment for UAT and performance testing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</si>
</sst>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2"/>
      <color rgb="FF000000"/>
      <name val="Calibri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sz val="12"/>
      <color rgb="FF000000"/>
      <name val="Calibri"/>
      <family val="2"/>
    </font>
    <font>
      <sz val="12"/>
      <color rgb="FF000000"/>
      <name val="Source Sans Pro"/>
      <family val="2"/>
    </font>
    <font>
      <b/>
      <sz val="12"/>
      <color theme="0"/>
      <name val="Source Sans Pro"/>
      <family val="2"/>
    </font>
    <font>
      <b/>
      <sz val="12"/>
      <color rgb="FF000000"/>
      <name val="Source Sans Pro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FF0000"/>
      <name val="Source Sans Pro"/>
      <family val="2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16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</cellStyleXfs>
  <cellXfs count="48">
    <xf numFmtId="0" fontId="0" fillId="0" borderId="0" xfId="0"/>
    <xf numFmtId="0" fontId="3" fillId="0" borderId="0" xfId="0" applyFont="1"/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10" fillId="0" borderId="1" xfId="115" applyFont="1" applyBorder="1" applyAlignment="1">
      <alignment horizontal="left" vertical="top" wrapText="1"/>
    </xf>
    <xf numFmtId="0" fontId="8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vertical="top" wrapText="1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vertical="center"/>
    </xf>
    <xf numFmtId="0" fontId="11" fillId="0" borderId="1" xfId="0" applyFont="1" applyBorder="1" applyAlignment="1">
      <alignment horizontal="left" vertical="top" wrapText="1"/>
    </xf>
    <xf numFmtId="0" fontId="11" fillId="0" borderId="1" xfId="115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12" fillId="0" borderId="0" xfId="0" applyFont="1"/>
    <xf numFmtId="0" fontId="7" fillId="0" borderId="1" xfId="0" applyFont="1" applyBorder="1" applyAlignment="1">
      <alignment vertical="top" wrapText="1"/>
    </xf>
    <xf numFmtId="0" fontId="7" fillId="0" borderId="1" xfId="0" applyFont="1" applyBorder="1" applyAlignment="1">
      <alignment vertical="top" textRotation="180" wrapText="1"/>
    </xf>
    <xf numFmtId="0" fontId="7" fillId="0" borderId="0" xfId="0" applyFont="1" applyAlignment="1">
      <alignment vertical="top"/>
    </xf>
    <xf numFmtId="0" fontId="7" fillId="5" borderId="1" xfId="0" applyFont="1" applyFill="1" applyBorder="1" applyAlignment="1">
      <alignment horizontal="center" vertical="top"/>
    </xf>
    <xf numFmtId="14" fontId="7" fillId="5" borderId="1" xfId="0" applyNumberFormat="1" applyFont="1" applyFill="1" applyBorder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9" fillId="2" borderId="3" xfId="0" applyFont="1" applyFill="1" applyBorder="1" applyAlignment="1">
      <alignment horizontal="center" vertical="top" wrapText="1"/>
    </xf>
    <xf numFmtId="0" fontId="8" fillId="6" borderId="1" xfId="0" applyFont="1" applyFill="1" applyBorder="1" applyAlignment="1">
      <alignment horizontal="center" vertical="top" wrapText="1"/>
    </xf>
    <xf numFmtId="0" fontId="7" fillId="0" borderId="1" xfId="0" applyFont="1" applyBorder="1" applyAlignment="1">
      <alignment vertical="top"/>
    </xf>
    <xf numFmtId="0" fontId="9" fillId="2" borderId="1" xfId="0" applyFont="1" applyFill="1" applyBorder="1" applyAlignment="1">
      <alignment horizontal="center" vertical="top" wrapText="1"/>
    </xf>
    <xf numFmtId="0" fontId="7" fillId="5" borderId="1" xfId="0" applyFont="1" applyFill="1" applyBorder="1" applyAlignment="1">
      <alignment horizontal="center" vertical="top" wrapText="1"/>
    </xf>
    <xf numFmtId="0" fontId="7" fillId="3" borderId="1" xfId="0" applyFont="1" applyFill="1" applyBorder="1" applyAlignment="1">
      <alignment horizontal="center" vertical="top" wrapText="1"/>
    </xf>
    <xf numFmtId="0" fontId="7" fillId="3" borderId="1" xfId="0" applyFont="1" applyFill="1" applyBorder="1" applyAlignment="1">
      <alignment horizontal="left" vertical="top" wrapText="1"/>
    </xf>
    <xf numFmtId="0" fontId="7" fillId="0" borderId="1" xfId="0" applyFont="1" applyBorder="1" applyAlignment="1">
      <alignment vertical="top" textRotation="180"/>
    </xf>
    <xf numFmtId="0" fontId="7" fillId="0" borderId="0" xfId="0" applyFont="1" applyAlignment="1">
      <alignment vertical="top" textRotation="180"/>
    </xf>
    <xf numFmtId="164" fontId="7" fillId="3" borderId="1" xfId="0" applyNumberFormat="1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horizontal="center" vertical="top" wrapText="1"/>
    </xf>
    <xf numFmtId="0" fontId="4" fillId="3" borderId="1" xfId="0" applyFont="1" applyFill="1" applyBorder="1" applyAlignment="1">
      <alignment horizontal="center" vertical="top" wrapText="1"/>
    </xf>
    <xf numFmtId="0" fontId="4" fillId="0" borderId="1" xfId="0" applyFont="1" applyBorder="1" applyAlignment="1">
      <alignment vertical="top"/>
    </xf>
    <xf numFmtId="0" fontId="4" fillId="0" borderId="0" xfId="0" applyFont="1" applyAlignment="1">
      <alignment vertical="top"/>
    </xf>
    <xf numFmtId="164" fontId="4" fillId="3" borderId="1" xfId="0" applyNumberFormat="1" applyFont="1" applyFill="1" applyBorder="1" applyAlignment="1">
      <alignment horizontal="center" vertical="top" wrapText="1"/>
    </xf>
    <xf numFmtId="0" fontId="9" fillId="2" borderId="4" xfId="0" applyFont="1" applyFill="1" applyBorder="1" applyAlignment="1">
      <alignment horizontal="center" vertical="top" wrapText="1"/>
    </xf>
    <xf numFmtId="0" fontId="4" fillId="3" borderId="1" xfId="0" applyFont="1" applyFill="1" applyBorder="1" applyAlignment="1">
      <alignment horizontal="left" vertical="top" wrapText="1"/>
    </xf>
    <xf numFmtId="164" fontId="0" fillId="0" borderId="0" xfId="0" applyNumberFormat="1"/>
    <xf numFmtId="0" fontId="13" fillId="3" borderId="1" xfId="0" applyFont="1" applyFill="1" applyBorder="1" applyAlignment="1">
      <alignment horizontal="left" vertical="top" wrapText="1"/>
    </xf>
    <xf numFmtId="0" fontId="11" fillId="3" borderId="1" xfId="0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/>
    </xf>
    <xf numFmtId="49" fontId="6" fillId="4" borderId="1" xfId="0" applyNumberFormat="1" applyFont="1" applyFill="1" applyBorder="1" applyAlignment="1">
      <alignment horizontal="center" vertical="center" textRotation="180" wrapText="1"/>
    </xf>
    <xf numFmtId="0" fontId="9" fillId="2" borderId="5" xfId="0" applyFont="1" applyFill="1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49" fontId="6" fillId="0" borderId="1" xfId="0" applyNumberFormat="1" applyFont="1" applyBorder="1" applyAlignment="1">
      <alignment horizontal="center" vertical="center" textRotation="180" wrapText="1"/>
    </xf>
    <xf numFmtId="0" fontId="8" fillId="0" borderId="3" xfId="0" applyFont="1" applyBorder="1" applyAlignment="1">
      <alignment horizontal="center" vertical="center" textRotation="180" wrapText="1"/>
    </xf>
    <xf numFmtId="0" fontId="8" fillId="0" borderId="2" xfId="0" applyFont="1" applyBorder="1" applyAlignment="1">
      <alignment horizontal="center" vertical="center" textRotation="180" wrapText="1"/>
    </xf>
    <xf numFmtId="49" fontId="8" fillId="0" borderId="1" xfId="0" applyNumberFormat="1" applyFont="1" applyBorder="1" applyAlignment="1">
      <alignment horizontal="center" vertical="center" textRotation="180" wrapText="1"/>
    </xf>
  </cellXfs>
  <cellStyles count="116">
    <cellStyle name="Followed Hyperlink" xfId="100" builtinId="9" hidden="1"/>
    <cellStyle name="Followed Hyperlink" xfId="86" builtinId="9" hidden="1"/>
    <cellStyle name="Followed Hyperlink" xfId="34" builtinId="9" hidden="1"/>
    <cellStyle name="Followed Hyperlink" xfId="74" builtinId="9" hidden="1"/>
    <cellStyle name="Followed Hyperlink" xfId="76" builtinId="9" hidden="1"/>
    <cellStyle name="Followed Hyperlink" xfId="72" builtinId="9" hidden="1"/>
    <cellStyle name="Followed Hyperlink" xfId="14" builtinId="9" hidden="1"/>
    <cellStyle name="Followed Hyperlink" xfId="108" builtinId="9" hidden="1"/>
    <cellStyle name="Followed Hyperlink" xfId="94" builtinId="9" hidden="1"/>
    <cellStyle name="Followed Hyperlink" xfId="20" builtinId="9" hidden="1"/>
    <cellStyle name="Followed Hyperlink" xfId="80" builtinId="9" hidden="1"/>
    <cellStyle name="Followed Hyperlink" xfId="64" builtinId="9" hidden="1"/>
    <cellStyle name="Followed Hyperlink" xfId="102" builtinId="9" hidden="1"/>
    <cellStyle name="Followed Hyperlink" xfId="88" builtinId="9" hidden="1"/>
    <cellStyle name="Followed Hyperlink" xfId="30" builtinId="9" hidden="1"/>
    <cellStyle name="Followed Hyperlink" xfId="62" builtinId="9" hidden="1"/>
    <cellStyle name="Followed Hyperlink" xfId="112" builtinId="9" hidden="1"/>
    <cellStyle name="Followed Hyperlink" xfId="110" builtinId="9" hidden="1"/>
    <cellStyle name="Followed Hyperlink" xfId="38" builtinId="9" hidden="1"/>
    <cellStyle name="Followed Hyperlink" xfId="78" builtinId="9" hidden="1"/>
    <cellStyle name="Followed Hyperlink" xfId="2" builtinId="9" hidden="1"/>
    <cellStyle name="Followed Hyperlink" xfId="96" builtinId="9" hidden="1"/>
    <cellStyle name="Followed Hyperlink" xfId="66" builtinId="9" hidden="1"/>
    <cellStyle name="Followed Hyperlink" xfId="48" builtinId="9" hidden="1"/>
    <cellStyle name="Followed Hyperlink" xfId="26" builtinId="9" hidden="1"/>
    <cellStyle name="Followed Hyperlink" xfId="82" builtinId="9" hidden="1"/>
    <cellStyle name="Followed Hyperlink" xfId="32" builtinId="9" hidden="1"/>
    <cellStyle name="Followed Hyperlink" xfId="12" builtinId="9" hidden="1"/>
    <cellStyle name="Followed Hyperlink" xfId="84" builtinId="9" hidden="1"/>
    <cellStyle name="Followed Hyperlink" xfId="24" builtinId="9" hidden="1"/>
    <cellStyle name="Followed Hyperlink" xfId="28" builtinId="9" hidden="1"/>
    <cellStyle name="Followed Hyperlink" xfId="44" builtinId="9" hidden="1"/>
    <cellStyle name="Followed Hyperlink" xfId="114" builtinId="9" hidden="1"/>
    <cellStyle name="Followed Hyperlink" xfId="16" builtinId="9" hidden="1"/>
    <cellStyle name="Followed Hyperlink" xfId="70" builtinId="9" hidden="1"/>
    <cellStyle name="Followed Hyperlink" xfId="54" builtinId="9" hidden="1"/>
    <cellStyle name="Followed Hyperlink" xfId="42" builtinId="9" hidden="1"/>
    <cellStyle name="Followed Hyperlink" xfId="98" builtinId="9" hidden="1"/>
    <cellStyle name="Followed Hyperlink" xfId="10" builtinId="9" hidden="1"/>
    <cellStyle name="Followed Hyperlink" xfId="52" builtinId="9" hidden="1"/>
    <cellStyle name="Followed Hyperlink" xfId="68" builtinId="9" hidden="1"/>
    <cellStyle name="Followed Hyperlink" xfId="56" builtinId="9" hidden="1"/>
    <cellStyle name="Followed Hyperlink" xfId="58" builtinId="9" hidden="1"/>
    <cellStyle name="Followed Hyperlink" xfId="50" builtinId="9" hidden="1"/>
    <cellStyle name="Followed Hyperlink" xfId="90" builtinId="9" hidden="1"/>
    <cellStyle name="Followed Hyperlink" xfId="92" builtinId="9" hidden="1"/>
    <cellStyle name="Followed Hyperlink" xfId="8" builtinId="9" hidden="1"/>
    <cellStyle name="Followed Hyperlink" xfId="6" builtinId="9" hidden="1"/>
    <cellStyle name="Followed Hyperlink" xfId="4" builtinId="9" hidden="1"/>
    <cellStyle name="Followed Hyperlink" xfId="22" builtinId="9" hidden="1"/>
    <cellStyle name="Followed Hyperlink" xfId="36" builtinId="9" hidden="1"/>
    <cellStyle name="Followed Hyperlink" xfId="104" builtinId="9" hidden="1"/>
    <cellStyle name="Followed Hyperlink" xfId="106" builtinId="9" hidden="1"/>
    <cellStyle name="Followed Hyperlink" xfId="60" builtinId="9" hidden="1"/>
    <cellStyle name="Followed Hyperlink" xfId="46" builtinId="9" hidden="1"/>
    <cellStyle name="Followed Hyperlink" xfId="40" builtinId="9" hidden="1"/>
    <cellStyle name="Followed Hyperlink" xfId="18" builtinId="9" hidden="1"/>
    <cellStyle name="Hyperlink" xfId="39" builtinId="8" hidden="1"/>
    <cellStyle name="Hyperlink" xfId="59" builtinId="8" hidden="1"/>
    <cellStyle name="Hyperlink" xfId="53" builtinId="8" hidden="1"/>
    <cellStyle name="Hyperlink" xfId="45" builtinId="8" hidden="1"/>
    <cellStyle name="Hyperlink" xfId="85" builtinId="8" hidden="1"/>
    <cellStyle name="Hyperlink" xfId="91" builtinId="8" hidden="1"/>
    <cellStyle name="Hyperlink" xfId="95" builtinId="8" hidden="1"/>
    <cellStyle name="Hyperlink" xfId="103" builtinId="8" hidden="1"/>
    <cellStyle name="Hyperlink" xfId="77" builtinId="8" hidden="1"/>
    <cellStyle name="Hyperlink" xfId="67" builtinId="8" hidden="1"/>
    <cellStyle name="Hyperlink" xfId="65" builtinId="8" hidden="1"/>
    <cellStyle name="Hyperlink" xfId="107" builtinId="8" hidden="1"/>
    <cellStyle name="Hyperlink" xfId="113" builtinId="8" hidden="1"/>
    <cellStyle name="Hyperlink" xfId="57" builtinId="8" hidden="1"/>
    <cellStyle name="Hyperlink" xfId="61" builtinId="8" hidden="1"/>
    <cellStyle name="Hyperlink" xfId="93" builtinId="8" hidden="1"/>
    <cellStyle name="Hyperlink" xfId="97" builtinId="8" hidden="1"/>
    <cellStyle name="Hyperlink" xfId="13" builtinId="8" hidden="1"/>
    <cellStyle name="Hyperlink" xfId="51" builtinId="8" hidden="1"/>
    <cellStyle name="Hyperlink" xfId="9" builtinId="8" hidden="1"/>
    <cellStyle name="Hyperlink" xfId="5" builtinId="8" hidden="1"/>
    <cellStyle name="Hyperlink" xfId="109" builtinId="8" hidden="1"/>
    <cellStyle name="Hyperlink" xfId="99" builtinId="8" hidden="1"/>
    <cellStyle name="Hyperlink" xfId="29" builtinId="8" hidden="1"/>
    <cellStyle name="Hyperlink" xfId="49" builtinId="8" hidden="1"/>
    <cellStyle name="Hyperlink" xfId="31" builtinId="8" hidden="1"/>
    <cellStyle name="Hyperlink" xfId="79" builtinId="8" hidden="1"/>
    <cellStyle name="Hyperlink" xfId="83" builtinId="8" hidden="1"/>
    <cellStyle name="Hyperlink" xfId="25" builtinId="8" hidden="1"/>
    <cellStyle name="Hyperlink" xfId="89" builtinId="8" hidden="1"/>
    <cellStyle name="Hyperlink" xfId="73" builtinId="8" hidden="1"/>
    <cellStyle name="Hyperlink" xfId="105" builtinId="8" hidden="1"/>
    <cellStyle name="Hyperlink" xfId="111" builtinId="8" hidden="1"/>
    <cellStyle name="Hyperlink" xfId="35" builtinId="8" hidden="1"/>
    <cellStyle name="Hyperlink" xfId="27" builtinId="8" hidden="1"/>
    <cellStyle name="Hyperlink" xfId="71" builtinId="8" hidden="1"/>
    <cellStyle name="Hyperlink" xfId="87" builtinId="8" hidden="1"/>
    <cellStyle name="Hyperlink" xfId="47" builtinId="8" hidden="1"/>
    <cellStyle name="Hyperlink" xfId="15" builtinId="8" hidden="1"/>
    <cellStyle name="Hyperlink" xfId="101" builtinId="8" hidden="1"/>
    <cellStyle name="Hyperlink" xfId="19" builtinId="8" hidden="1"/>
    <cellStyle name="Hyperlink" xfId="7" builtinId="8" hidden="1"/>
    <cellStyle name="Hyperlink" xfId="55" builtinId="8" hidden="1"/>
    <cellStyle name="Hyperlink" xfId="23" builtinId="8" hidden="1"/>
    <cellStyle name="Hyperlink" xfId="43" builtinId="8" hidden="1"/>
    <cellStyle name="Hyperlink" xfId="41" builtinId="8" hidden="1"/>
    <cellStyle name="Hyperlink" xfId="11" builtinId="8" hidden="1"/>
    <cellStyle name="Hyperlink" xfId="3" builtinId="8" hidden="1"/>
    <cellStyle name="Hyperlink" xfId="1" builtinId="8" hidden="1"/>
    <cellStyle name="Hyperlink" xfId="33" builtinId="8" hidden="1"/>
    <cellStyle name="Hyperlink" xfId="37" builtinId="8" hidden="1"/>
    <cellStyle name="Hyperlink" xfId="69" builtinId="8" hidden="1"/>
    <cellStyle name="Hyperlink" xfId="17" builtinId="8" hidden="1"/>
    <cellStyle name="Hyperlink" xfId="21" builtinId="8" hidden="1"/>
    <cellStyle name="Hyperlink" xfId="81" builtinId="8" hidden="1"/>
    <cellStyle name="Hyperlink" xfId="75" builtinId="8" hidden="1"/>
    <cellStyle name="Hyperlink" xfId="63" builtinId="8" hidden="1"/>
    <cellStyle name="Normal" xfId="0" builtinId="0"/>
    <cellStyle name="Normal 2" xfId="115" xr:uid="{00000000-0005-0000-0000-000073000000}"/>
  </cellStyles>
  <dxfs count="96"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9" defaultPivotStyle="PivotStyleMedium4"/>
  <colors>
    <mruColors>
      <color rgb="FF99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Overall</a:t>
            </a:r>
            <a:r>
              <a:rPr lang="en-GB" baseline="0"/>
              <a:t> Average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'Overall Average'!$M$2:$M$8</c:f>
              <c:strCache>
                <c:ptCount val="7"/>
                <c:pt idx="0">
                  <c:v>Test Methodology</c:v>
                </c:pt>
                <c:pt idx="1">
                  <c:v>Test Planning</c:v>
                </c:pt>
                <c:pt idx="2">
                  <c:v>Test Designing</c:v>
                </c:pt>
                <c:pt idx="3">
                  <c:v>Test Execution</c:v>
                </c:pt>
                <c:pt idx="4">
                  <c:v>Test Closure</c:v>
                </c:pt>
                <c:pt idx="5">
                  <c:v>Test Automation</c:v>
                </c:pt>
                <c:pt idx="6">
                  <c:v>Metrics &amp; Reporting</c:v>
                </c:pt>
              </c:strCache>
            </c:strRef>
          </c:cat>
          <c:val>
            <c:numRef>
              <c:f>'Overall Average'!$N$2:$N$8</c:f>
              <c:numCache>
                <c:formatCode>0.0</c:formatCode>
                <c:ptCount val="7"/>
                <c:pt idx="0">
                  <c:v>2</c:v>
                </c:pt>
                <c:pt idx="1">
                  <c:v>2.5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17-4DF2-ACC0-3AF64FA58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686648"/>
        <c:axId val="606683696"/>
      </c:radarChart>
      <c:catAx>
        <c:axId val="606686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683696"/>
        <c:crosses val="autoZero"/>
        <c:auto val="1"/>
        <c:lblAlgn val="ctr"/>
        <c:lblOffset val="100"/>
        <c:noMultiLvlLbl val="0"/>
      </c:catAx>
      <c:valAx>
        <c:axId val="60668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68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4</xdr:row>
          <xdr:rowOff>0</xdr:rowOff>
        </xdr:from>
        <xdr:to>
          <xdr:col>8</xdr:col>
          <xdr:colOff>2108200</xdr:colOff>
          <xdr:row>4</xdr:row>
          <xdr:rowOff>107950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All Scores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</xdr:colOff>
      <xdr:row>0</xdr:row>
      <xdr:rowOff>0</xdr:rowOff>
    </xdr:from>
    <xdr:to>
      <xdr:col>11</xdr:col>
      <xdr:colOff>0</xdr:colOff>
      <xdr:row>29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M46"/>
  <sheetViews>
    <sheetView tabSelected="1" zoomScale="50" zoomScaleNormal="50" workbookViewId="0">
      <selection activeCell="G12" sqref="G12"/>
    </sheetView>
  </sheetViews>
  <sheetFormatPr defaultColWidth="11" defaultRowHeight="15.5" outlineLevelRow="1" outlineLevelCol="1" x14ac:dyDescent="0.35"/>
  <cols>
    <col min="1" max="1" width="14.08203125" style="8" customWidth="1"/>
    <col min="2" max="2" width="34.25" style="15" customWidth="1"/>
    <col min="3" max="3" width="9.75" style="15" customWidth="1"/>
    <col min="4" max="5" width="8.83203125" style="15" customWidth="1"/>
    <col min="6" max="6" width="45.6640625" style="15" customWidth="1" outlineLevel="1"/>
    <col min="7" max="7" width="61.25" style="15" customWidth="1" outlineLevel="1"/>
    <col min="8" max="8" width="88.9140625" style="7" customWidth="1" outlineLevel="1"/>
    <col min="9" max="9" width="46.6640625" style="15" customWidth="1" outlineLevel="1"/>
    <col min="10" max="16384" width="11" style="15"/>
  </cols>
  <sheetData>
    <row r="1" spans="1:13" x14ac:dyDescent="0.35">
      <c r="A1" s="39" t="s">
        <v>0</v>
      </c>
      <c r="B1" s="39"/>
      <c r="I1" s="7"/>
    </row>
    <row r="2" spans="1:13" ht="22.5" customHeight="1" x14ac:dyDescent="0.35">
      <c r="A2" s="3" t="s">
        <v>1</v>
      </c>
      <c r="B2" s="16" t="s">
        <v>95</v>
      </c>
      <c r="C2" s="7"/>
      <c r="D2" s="7"/>
      <c r="E2" s="7"/>
      <c r="F2" s="7"/>
      <c r="G2" s="7"/>
      <c r="I2" s="7"/>
    </row>
    <row r="3" spans="1:13" ht="25.5" customHeight="1" x14ac:dyDescent="0.35">
      <c r="A3" s="2" t="s">
        <v>2</v>
      </c>
      <c r="B3" s="17">
        <v>44113</v>
      </c>
      <c r="C3" s="7"/>
      <c r="D3" s="7"/>
      <c r="E3" s="7"/>
      <c r="F3" s="7"/>
      <c r="G3" s="7"/>
      <c r="I3" s="7"/>
    </row>
    <row r="4" spans="1:13" x14ac:dyDescent="0.35">
      <c r="A4" s="3" t="s">
        <v>93</v>
      </c>
      <c r="B4" s="16" t="s">
        <v>96</v>
      </c>
      <c r="C4" s="7"/>
      <c r="D4" s="7"/>
      <c r="E4" s="7"/>
      <c r="F4" s="7"/>
      <c r="G4" s="7"/>
    </row>
    <row r="5" spans="1:13" ht="22.5" customHeight="1" x14ac:dyDescent="0.35">
      <c r="A5" s="2" t="s">
        <v>94</v>
      </c>
      <c r="B5" s="17" t="s">
        <v>97</v>
      </c>
      <c r="C5" s="18"/>
      <c r="D5" s="18"/>
      <c r="E5" s="18"/>
      <c r="F5" s="19" t="s">
        <v>3</v>
      </c>
      <c r="G5" s="19" t="s">
        <v>4</v>
      </c>
      <c r="H5" s="19" t="s">
        <v>5</v>
      </c>
      <c r="I5" s="6"/>
      <c r="J5" s="6"/>
      <c r="K5" s="6"/>
      <c r="L5" s="6"/>
      <c r="M5" s="6"/>
    </row>
    <row r="6" spans="1:13" ht="19.5" customHeight="1" x14ac:dyDescent="0.35">
      <c r="A6" s="5" t="s">
        <v>6</v>
      </c>
      <c r="B6" s="20" t="s">
        <v>7</v>
      </c>
      <c r="C6" s="20" t="s">
        <v>8</v>
      </c>
      <c r="D6" s="20" t="s">
        <v>9</v>
      </c>
      <c r="E6" s="20" t="s">
        <v>63</v>
      </c>
      <c r="F6" s="20" t="s">
        <v>10</v>
      </c>
      <c r="G6" s="20" t="s">
        <v>11</v>
      </c>
      <c r="H6" s="20" t="s">
        <v>12</v>
      </c>
      <c r="I6" s="20" t="s">
        <v>13</v>
      </c>
      <c r="J6" s="20" t="s">
        <v>64</v>
      </c>
      <c r="K6" s="20" t="s">
        <v>65</v>
      </c>
      <c r="L6" s="20" t="s">
        <v>66</v>
      </c>
      <c r="M6" s="20" t="s">
        <v>67</v>
      </c>
    </row>
    <row r="7" spans="1:13" ht="14.15" customHeight="1" x14ac:dyDescent="0.35">
      <c r="A7" s="41" t="s">
        <v>14</v>
      </c>
      <c r="B7" s="42"/>
      <c r="C7" s="42"/>
      <c r="D7" s="42"/>
      <c r="E7" s="42"/>
      <c r="F7" s="42"/>
      <c r="G7" s="42"/>
      <c r="H7" s="42"/>
      <c r="I7" s="43"/>
      <c r="J7" s="21"/>
      <c r="K7" s="13"/>
      <c r="L7" s="21"/>
      <c r="M7" s="21"/>
    </row>
    <row r="8" spans="1:13" s="27" customFormat="1" ht="77.5" outlineLevel="1" x14ac:dyDescent="0.35">
      <c r="A8" s="45" t="s">
        <v>14</v>
      </c>
      <c r="B8" s="22" t="s">
        <v>15</v>
      </c>
      <c r="C8" s="23">
        <v>2</v>
      </c>
      <c r="D8" s="24">
        <v>3</v>
      </c>
      <c r="E8" s="24">
        <f>C8-D8</f>
        <v>-1</v>
      </c>
      <c r="F8" s="4" t="s">
        <v>100</v>
      </c>
      <c r="G8" s="4" t="s">
        <v>101</v>
      </c>
      <c r="H8" s="4" t="s">
        <v>72</v>
      </c>
      <c r="I8" s="25" t="s">
        <v>98</v>
      </c>
      <c r="J8" s="26"/>
      <c r="K8" s="14"/>
      <c r="L8" s="26"/>
      <c r="M8" s="26"/>
    </row>
    <row r="9" spans="1:13" ht="36" customHeight="1" outlineLevel="1" x14ac:dyDescent="0.35">
      <c r="A9" s="46"/>
      <c r="B9" s="22" t="s">
        <v>16</v>
      </c>
      <c r="C9" s="28">
        <f>IFERROR(AVERAGE(C8),0)</f>
        <v>2</v>
      </c>
      <c r="D9" s="24">
        <v>0</v>
      </c>
      <c r="E9" s="28">
        <f>C9-D9</f>
        <v>2</v>
      </c>
      <c r="F9" s="24"/>
      <c r="G9" s="24"/>
      <c r="H9" s="24"/>
      <c r="I9" s="24"/>
      <c r="J9" s="21"/>
      <c r="K9" s="13"/>
      <c r="L9" s="21"/>
      <c r="M9" s="21"/>
    </row>
    <row r="10" spans="1:13" ht="14.15" customHeight="1" x14ac:dyDescent="0.35">
      <c r="A10" s="41" t="s">
        <v>17</v>
      </c>
      <c r="B10" s="42"/>
      <c r="C10" s="42"/>
      <c r="D10" s="42"/>
      <c r="E10" s="42"/>
      <c r="F10" s="42"/>
      <c r="G10" s="42"/>
      <c r="H10" s="42"/>
      <c r="I10" s="43"/>
      <c r="J10" s="21"/>
      <c r="K10" s="13"/>
      <c r="L10" s="21"/>
      <c r="M10" s="21"/>
    </row>
    <row r="11" spans="1:13" ht="146.5" customHeight="1" outlineLevel="1" x14ac:dyDescent="0.35">
      <c r="A11" s="47"/>
      <c r="B11" s="22" t="s">
        <v>80</v>
      </c>
      <c r="C11" s="23">
        <v>2</v>
      </c>
      <c r="D11" s="24">
        <v>3</v>
      </c>
      <c r="E11" s="24">
        <f t="shared" ref="E11:E14" si="0">C11-D11</f>
        <v>-1</v>
      </c>
      <c r="F11" s="4" t="s">
        <v>102</v>
      </c>
      <c r="G11" s="4" t="s">
        <v>103</v>
      </c>
      <c r="H11" s="4" t="s">
        <v>104</v>
      </c>
      <c r="I11" s="38" t="s">
        <v>90</v>
      </c>
      <c r="J11" s="21"/>
      <c r="K11" s="13"/>
      <c r="L11" s="21"/>
      <c r="M11" s="21"/>
    </row>
    <row r="12" spans="1:13" ht="102" customHeight="1" outlineLevel="1" x14ac:dyDescent="0.35">
      <c r="A12" s="47"/>
      <c r="B12" s="22" t="s">
        <v>18</v>
      </c>
      <c r="C12" s="23">
        <v>3</v>
      </c>
      <c r="D12" s="24">
        <v>3</v>
      </c>
      <c r="E12" s="24">
        <f t="shared" si="0"/>
        <v>0</v>
      </c>
      <c r="F12" s="4" t="s">
        <v>105</v>
      </c>
      <c r="G12" s="4" t="s">
        <v>154</v>
      </c>
      <c r="H12" s="10" t="s">
        <v>87</v>
      </c>
      <c r="I12" s="25" t="s">
        <v>70</v>
      </c>
      <c r="J12" s="21"/>
      <c r="K12" s="13"/>
      <c r="L12" s="21"/>
      <c r="M12" s="21"/>
    </row>
    <row r="13" spans="1:13" ht="110" customHeight="1" outlineLevel="1" x14ac:dyDescent="0.35">
      <c r="A13" s="47"/>
      <c r="B13" s="22" t="s">
        <v>19</v>
      </c>
      <c r="C13" s="23">
        <v>3</v>
      </c>
      <c r="D13" s="24">
        <v>3</v>
      </c>
      <c r="E13" s="24">
        <f t="shared" si="0"/>
        <v>0</v>
      </c>
      <c r="F13" s="4" t="s">
        <v>106</v>
      </c>
      <c r="G13" s="4" t="s">
        <v>107</v>
      </c>
      <c r="H13" s="4" t="s">
        <v>108</v>
      </c>
      <c r="I13" s="25" t="s">
        <v>81</v>
      </c>
      <c r="J13" s="21"/>
      <c r="K13" s="13"/>
      <c r="L13" s="21"/>
      <c r="M13" s="21"/>
    </row>
    <row r="14" spans="1:13" ht="64.5" customHeight="1" outlineLevel="1" x14ac:dyDescent="0.35">
      <c r="A14" s="47"/>
      <c r="B14" s="22" t="s">
        <v>20</v>
      </c>
      <c r="C14" s="23">
        <v>2</v>
      </c>
      <c r="D14" s="24">
        <v>3</v>
      </c>
      <c r="E14" s="24">
        <f t="shared" si="0"/>
        <v>-1</v>
      </c>
      <c r="F14" s="4" t="s">
        <v>21</v>
      </c>
      <c r="G14" s="4" t="s">
        <v>109</v>
      </c>
      <c r="H14" s="4" t="s">
        <v>110</v>
      </c>
      <c r="I14" s="25" t="s">
        <v>99</v>
      </c>
      <c r="J14" s="21"/>
      <c r="K14" s="13"/>
      <c r="L14" s="21"/>
      <c r="M14" s="21"/>
    </row>
    <row r="15" spans="1:13" outlineLevel="1" x14ac:dyDescent="0.35">
      <c r="A15" s="47"/>
      <c r="B15" s="22" t="s">
        <v>22</v>
      </c>
      <c r="C15" s="28">
        <f>IFERROR(AVERAGE(C11:C14),0)</f>
        <v>2.5</v>
      </c>
      <c r="D15" s="24">
        <v>3</v>
      </c>
      <c r="E15" s="28">
        <f t="shared" ref="E15:E44" si="1">C15-D15</f>
        <v>-0.5</v>
      </c>
      <c r="F15" s="24"/>
      <c r="G15" s="24"/>
      <c r="H15" s="24"/>
      <c r="I15" s="24"/>
      <c r="J15" s="21"/>
      <c r="K15" s="13"/>
      <c r="L15" s="21"/>
      <c r="M15" s="21"/>
    </row>
    <row r="16" spans="1:13" ht="21.65" customHeight="1" x14ac:dyDescent="0.35">
      <c r="A16" s="41" t="s">
        <v>23</v>
      </c>
      <c r="B16" s="42"/>
      <c r="C16" s="42"/>
      <c r="D16" s="42"/>
      <c r="E16" s="42"/>
      <c r="F16" s="42"/>
      <c r="G16" s="42"/>
      <c r="H16" s="42"/>
      <c r="I16" s="43"/>
      <c r="J16" s="21"/>
      <c r="K16" s="13"/>
      <c r="L16" s="21"/>
      <c r="M16" s="21"/>
    </row>
    <row r="17" spans="1:13" s="32" customFormat="1" ht="39" customHeight="1" outlineLevel="1" x14ac:dyDescent="0.35">
      <c r="A17" s="44" t="s">
        <v>23</v>
      </c>
      <c r="B17" s="29" t="s">
        <v>24</v>
      </c>
      <c r="C17" s="23">
        <v>3</v>
      </c>
      <c r="D17" s="30">
        <v>3</v>
      </c>
      <c r="E17" s="24">
        <f t="shared" ref="E17:E18" si="2">C17-D17</f>
        <v>0</v>
      </c>
      <c r="F17" s="9" t="s">
        <v>54</v>
      </c>
      <c r="G17" s="9" t="s">
        <v>111</v>
      </c>
      <c r="H17" s="9" t="s">
        <v>112</v>
      </c>
      <c r="I17" s="35"/>
      <c r="J17" s="31"/>
      <c r="K17" s="31"/>
      <c r="L17" s="31"/>
      <c r="M17" s="31"/>
    </row>
    <row r="18" spans="1:13" s="32" customFormat="1" ht="87.5" customHeight="1" outlineLevel="1" x14ac:dyDescent="0.35">
      <c r="A18" s="44"/>
      <c r="B18" s="29" t="s">
        <v>55</v>
      </c>
      <c r="C18" s="23">
        <v>3</v>
      </c>
      <c r="D18" s="30">
        <v>3</v>
      </c>
      <c r="E18" s="24">
        <f t="shared" si="2"/>
        <v>0</v>
      </c>
      <c r="F18" s="10" t="s">
        <v>113</v>
      </c>
      <c r="G18" s="10" t="s">
        <v>114</v>
      </c>
      <c r="H18" s="10" t="s">
        <v>115</v>
      </c>
      <c r="I18" s="35" t="s">
        <v>82</v>
      </c>
      <c r="J18" s="31"/>
      <c r="K18" s="31"/>
      <c r="L18" s="31"/>
      <c r="M18" s="31"/>
    </row>
    <row r="19" spans="1:13" s="32" customFormat="1" ht="16" outlineLevel="1" x14ac:dyDescent="0.35">
      <c r="A19" s="44"/>
      <c r="B19" s="29" t="s">
        <v>25</v>
      </c>
      <c r="C19" s="33">
        <f>IFERROR(AVERAGE(C17:C18),0)</f>
        <v>3</v>
      </c>
      <c r="D19" s="30">
        <v>3</v>
      </c>
      <c r="E19" s="28">
        <f t="shared" si="1"/>
        <v>0</v>
      </c>
      <c r="F19" s="30"/>
      <c r="G19" s="30"/>
      <c r="H19" s="30"/>
      <c r="I19" s="30"/>
      <c r="J19" s="31"/>
      <c r="K19" s="31"/>
      <c r="L19" s="31"/>
      <c r="M19" s="31"/>
    </row>
    <row r="20" spans="1:13" ht="21.65" customHeight="1" x14ac:dyDescent="0.35">
      <c r="A20" s="41" t="s">
        <v>26</v>
      </c>
      <c r="B20" s="42"/>
      <c r="C20" s="42"/>
      <c r="D20" s="42"/>
      <c r="E20" s="42"/>
      <c r="F20" s="42"/>
      <c r="G20" s="42"/>
      <c r="H20" s="42"/>
      <c r="I20" s="43"/>
      <c r="J20" s="21"/>
      <c r="K20" s="13"/>
      <c r="L20" s="21"/>
      <c r="M20" s="21"/>
    </row>
    <row r="21" spans="1:13" ht="36.5" customHeight="1" outlineLevel="1" x14ac:dyDescent="0.35">
      <c r="A21" s="44" t="s">
        <v>26</v>
      </c>
      <c r="B21" s="29" t="s">
        <v>27</v>
      </c>
      <c r="C21" s="23" t="s">
        <v>68</v>
      </c>
      <c r="D21" s="30" t="s">
        <v>69</v>
      </c>
      <c r="E21" s="24" t="e">
        <f t="shared" ref="E21:E31" si="3">C21-D21</f>
        <v>#VALUE!</v>
      </c>
      <c r="F21" s="9" t="s">
        <v>116</v>
      </c>
      <c r="G21" s="9" t="s">
        <v>117</v>
      </c>
      <c r="H21" s="9" t="s">
        <v>118</v>
      </c>
      <c r="I21" s="35" t="s">
        <v>84</v>
      </c>
      <c r="J21" s="21"/>
      <c r="K21" s="13"/>
      <c r="L21" s="21"/>
      <c r="M21" s="21"/>
    </row>
    <row r="22" spans="1:13" ht="91.5" customHeight="1" outlineLevel="1" x14ac:dyDescent="0.35">
      <c r="A22" s="44"/>
      <c r="B22" s="29" t="s">
        <v>28</v>
      </c>
      <c r="C22" s="23">
        <v>3</v>
      </c>
      <c r="D22" s="30">
        <v>3</v>
      </c>
      <c r="E22" s="24">
        <f t="shared" si="3"/>
        <v>0</v>
      </c>
      <c r="F22" s="11" t="s">
        <v>119</v>
      </c>
      <c r="G22" s="11" t="s">
        <v>120</v>
      </c>
      <c r="H22" s="11" t="s">
        <v>121</v>
      </c>
      <c r="I22" s="37" t="s">
        <v>88</v>
      </c>
      <c r="J22" s="21"/>
      <c r="K22" s="13"/>
      <c r="L22" s="21"/>
      <c r="M22" s="21"/>
    </row>
    <row r="23" spans="1:13" ht="77.5" outlineLevel="1" x14ac:dyDescent="0.35">
      <c r="A23" s="44"/>
      <c r="B23" s="29" t="s">
        <v>29</v>
      </c>
      <c r="C23" s="23" t="s">
        <v>68</v>
      </c>
      <c r="D23" s="30" t="s">
        <v>69</v>
      </c>
      <c r="E23" s="24" t="e">
        <f t="shared" si="3"/>
        <v>#VALUE!</v>
      </c>
      <c r="F23" s="9" t="s">
        <v>73</v>
      </c>
      <c r="G23" s="9" t="s">
        <v>122</v>
      </c>
      <c r="H23" s="9" t="s">
        <v>123</v>
      </c>
      <c r="I23" s="35" t="s">
        <v>71</v>
      </c>
      <c r="J23" s="21"/>
      <c r="K23" s="13"/>
      <c r="L23" s="21"/>
      <c r="M23" s="21"/>
    </row>
    <row r="24" spans="1:13" ht="46.5" outlineLevel="1" x14ac:dyDescent="0.35">
      <c r="A24" s="44"/>
      <c r="B24" s="29" t="s">
        <v>30</v>
      </c>
      <c r="C24" s="23" t="s">
        <v>68</v>
      </c>
      <c r="D24" s="30" t="s">
        <v>69</v>
      </c>
      <c r="E24" s="24" t="e">
        <f t="shared" si="3"/>
        <v>#VALUE!</v>
      </c>
      <c r="F24" s="11" t="s">
        <v>74</v>
      </c>
      <c r="G24" s="11" t="s">
        <v>124</v>
      </c>
      <c r="H24" s="9" t="s">
        <v>125</v>
      </c>
      <c r="I24" s="35" t="s">
        <v>71</v>
      </c>
      <c r="J24" s="21"/>
      <c r="K24" s="13"/>
      <c r="L24" s="21"/>
      <c r="M24" s="21"/>
    </row>
    <row r="25" spans="1:13" ht="84" customHeight="1" outlineLevel="1" x14ac:dyDescent="0.35">
      <c r="A25" s="44"/>
      <c r="B25" s="29" t="s">
        <v>31</v>
      </c>
      <c r="C25" s="23">
        <v>3</v>
      </c>
      <c r="D25" s="30">
        <v>3</v>
      </c>
      <c r="E25" s="24">
        <f t="shared" si="3"/>
        <v>0</v>
      </c>
      <c r="F25" s="9" t="s">
        <v>126</v>
      </c>
      <c r="G25" s="9" t="s">
        <v>127</v>
      </c>
      <c r="H25" s="9" t="s">
        <v>128</v>
      </c>
      <c r="I25" s="30"/>
      <c r="J25" s="21"/>
      <c r="K25" s="13"/>
      <c r="L25" s="21"/>
      <c r="M25" s="21"/>
    </row>
    <row r="26" spans="1:13" ht="84.5" customHeight="1" outlineLevel="1" x14ac:dyDescent="0.35">
      <c r="A26" s="44"/>
      <c r="B26" s="29" t="s">
        <v>32</v>
      </c>
      <c r="C26" s="23">
        <v>3</v>
      </c>
      <c r="D26" s="30">
        <v>3</v>
      </c>
      <c r="E26" s="24">
        <f t="shared" si="3"/>
        <v>0</v>
      </c>
      <c r="F26" s="11" t="s">
        <v>85</v>
      </c>
      <c r="G26" s="9" t="s">
        <v>129</v>
      </c>
      <c r="H26" s="11" t="s">
        <v>130</v>
      </c>
      <c r="I26" s="30"/>
      <c r="J26" s="21"/>
      <c r="K26" s="13"/>
      <c r="L26" s="21"/>
      <c r="M26" s="21"/>
    </row>
    <row r="27" spans="1:13" ht="46.5" outlineLevel="1" x14ac:dyDescent="0.35">
      <c r="A27" s="44"/>
      <c r="B27" s="29" t="s">
        <v>33</v>
      </c>
      <c r="C27" s="23">
        <v>3</v>
      </c>
      <c r="D27" s="30">
        <v>3</v>
      </c>
      <c r="E27" s="24">
        <f t="shared" si="3"/>
        <v>0</v>
      </c>
      <c r="F27" s="9" t="s">
        <v>131</v>
      </c>
      <c r="G27" s="9" t="s">
        <v>132</v>
      </c>
      <c r="H27" s="9" t="s">
        <v>133</v>
      </c>
      <c r="I27" s="35" t="s">
        <v>79</v>
      </c>
      <c r="J27" s="21"/>
      <c r="K27" s="13"/>
      <c r="L27" s="21"/>
      <c r="M27" s="21"/>
    </row>
    <row r="28" spans="1:13" ht="21.65" customHeight="1" outlineLevel="1" x14ac:dyDescent="0.35">
      <c r="A28" s="44"/>
      <c r="B28" s="29" t="s">
        <v>34</v>
      </c>
      <c r="C28" s="23" t="s">
        <v>68</v>
      </c>
      <c r="D28" s="30" t="s">
        <v>69</v>
      </c>
      <c r="E28" s="24" t="e">
        <f t="shared" si="3"/>
        <v>#VALUE!</v>
      </c>
      <c r="F28" s="9" t="s">
        <v>49</v>
      </c>
      <c r="G28" s="9" t="s">
        <v>134</v>
      </c>
      <c r="H28" s="9" t="s">
        <v>135</v>
      </c>
      <c r="I28" s="30"/>
      <c r="J28" s="21"/>
      <c r="K28" s="13"/>
      <c r="L28" s="21"/>
      <c r="M28" s="21"/>
    </row>
    <row r="29" spans="1:13" ht="62.5" customHeight="1" outlineLevel="1" x14ac:dyDescent="0.35">
      <c r="A29" s="44"/>
      <c r="B29" s="29" t="s">
        <v>35</v>
      </c>
      <c r="C29" s="23" t="s">
        <v>68</v>
      </c>
      <c r="D29" s="30" t="s">
        <v>69</v>
      </c>
      <c r="E29" s="24" t="e">
        <f t="shared" si="3"/>
        <v>#VALUE!</v>
      </c>
      <c r="F29" s="11" t="s">
        <v>136</v>
      </c>
      <c r="G29" s="11" t="s">
        <v>137</v>
      </c>
      <c r="H29" s="9" t="s">
        <v>138</v>
      </c>
      <c r="I29" s="30"/>
      <c r="J29" s="21"/>
      <c r="K29" s="13"/>
      <c r="L29" s="21"/>
      <c r="M29" s="21"/>
    </row>
    <row r="30" spans="1:13" ht="78" customHeight="1" outlineLevel="1" x14ac:dyDescent="0.35">
      <c r="A30" s="44"/>
      <c r="B30" s="29" t="s">
        <v>36</v>
      </c>
      <c r="C30" s="23" t="s">
        <v>68</v>
      </c>
      <c r="D30" s="30" t="s">
        <v>69</v>
      </c>
      <c r="E30" s="24" t="e">
        <f t="shared" si="3"/>
        <v>#VALUE!</v>
      </c>
      <c r="F30" s="9" t="s">
        <v>75</v>
      </c>
      <c r="G30" s="9" t="s">
        <v>139</v>
      </c>
      <c r="H30" s="9" t="s">
        <v>140</v>
      </c>
      <c r="I30" s="30"/>
      <c r="J30" s="21"/>
      <c r="K30" s="13"/>
      <c r="L30" s="21"/>
      <c r="M30" s="21"/>
    </row>
    <row r="31" spans="1:13" ht="46.5" outlineLevel="1" x14ac:dyDescent="0.35">
      <c r="A31" s="44"/>
      <c r="B31" s="29" t="s">
        <v>37</v>
      </c>
      <c r="C31" s="23">
        <v>3</v>
      </c>
      <c r="D31" s="30">
        <v>3</v>
      </c>
      <c r="E31" s="24">
        <f t="shared" si="3"/>
        <v>0</v>
      </c>
      <c r="F31" s="9" t="s">
        <v>76</v>
      </c>
      <c r="G31" s="9" t="s">
        <v>141</v>
      </c>
      <c r="H31" s="9" t="s">
        <v>142</v>
      </c>
      <c r="I31" s="35" t="s">
        <v>91</v>
      </c>
      <c r="J31" s="21"/>
      <c r="K31" s="13"/>
      <c r="L31" s="21"/>
      <c r="M31" s="21"/>
    </row>
    <row r="32" spans="1:13" ht="16" outlineLevel="1" x14ac:dyDescent="0.35">
      <c r="A32" s="44"/>
      <c r="B32" s="29" t="s">
        <v>38</v>
      </c>
      <c r="C32" s="33">
        <f>IFERROR(AVERAGE(C21:C31),0)</f>
        <v>3</v>
      </c>
      <c r="D32" s="30">
        <v>3</v>
      </c>
      <c r="E32" s="28">
        <f t="shared" si="1"/>
        <v>0</v>
      </c>
      <c r="F32" s="30"/>
      <c r="G32" s="30"/>
      <c r="H32" s="30"/>
      <c r="I32" s="30"/>
      <c r="J32" s="21"/>
      <c r="K32" s="13"/>
      <c r="L32" s="21"/>
      <c r="M32" s="21"/>
    </row>
    <row r="33" spans="1:13" ht="21.65" customHeight="1" x14ac:dyDescent="0.35">
      <c r="A33" s="41" t="s">
        <v>39</v>
      </c>
      <c r="B33" s="42"/>
      <c r="C33" s="42"/>
      <c r="D33" s="42"/>
      <c r="E33" s="42"/>
      <c r="F33" s="42"/>
      <c r="G33" s="42"/>
      <c r="H33" s="42"/>
      <c r="I33" s="43"/>
      <c r="J33" s="21"/>
      <c r="K33" s="13"/>
      <c r="L33" s="21"/>
      <c r="M33" s="21"/>
    </row>
    <row r="34" spans="1:13" s="32" customFormat="1" ht="31" outlineLevel="1" x14ac:dyDescent="0.35">
      <c r="A34" s="40" t="s">
        <v>39</v>
      </c>
      <c r="B34" s="29" t="s">
        <v>53</v>
      </c>
      <c r="C34" s="23" t="s">
        <v>68</v>
      </c>
      <c r="D34" s="30" t="s">
        <v>69</v>
      </c>
      <c r="E34" s="24" t="e">
        <f t="shared" ref="E34:E35" si="4">C34-D34</f>
        <v>#VALUE!</v>
      </c>
      <c r="F34" s="9" t="s">
        <v>56</v>
      </c>
      <c r="G34" s="9" t="s">
        <v>57</v>
      </c>
      <c r="H34" s="9" t="s">
        <v>143</v>
      </c>
      <c r="I34" s="35" t="s">
        <v>83</v>
      </c>
      <c r="J34" s="31"/>
      <c r="K34" s="31"/>
      <c r="L34" s="31"/>
      <c r="M34" s="31"/>
    </row>
    <row r="35" spans="1:13" s="32" customFormat="1" ht="51.5" customHeight="1" outlineLevel="1" x14ac:dyDescent="0.35">
      <c r="A35" s="40"/>
      <c r="B35" s="29" t="s">
        <v>52</v>
      </c>
      <c r="C35" s="23">
        <v>2</v>
      </c>
      <c r="D35" s="30">
        <v>3</v>
      </c>
      <c r="E35" s="24">
        <f t="shared" si="4"/>
        <v>-1</v>
      </c>
      <c r="F35" s="9" t="s">
        <v>58</v>
      </c>
      <c r="G35" s="9" t="s">
        <v>59</v>
      </c>
      <c r="H35" s="9" t="s">
        <v>144</v>
      </c>
      <c r="I35" s="35" t="s">
        <v>89</v>
      </c>
      <c r="J35" s="31"/>
      <c r="K35" s="31"/>
      <c r="L35" s="31"/>
      <c r="M35" s="31"/>
    </row>
    <row r="36" spans="1:13" s="32" customFormat="1" ht="16" outlineLevel="1" x14ac:dyDescent="0.35">
      <c r="A36" s="40"/>
      <c r="B36" s="29" t="s">
        <v>40</v>
      </c>
      <c r="C36" s="33">
        <f>IFERROR(AVERAGE(C34:C35),0)</f>
        <v>2</v>
      </c>
      <c r="D36" s="30">
        <v>3</v>
      </c>
      <c r="E36" s="28">
        <f t="shared" si="1"/>
        <v>-1</v>
      </c>
      <c r="F36" s="30"/>
      <c r="G36" s="30"/>
      <c r="H36" s="30"/>
      <c r="I36" s="30"/>
      <c r="J36" s="31"/>
      <c r="K36" s="31"/>
      <c r="L36" s="31"/>
      <c r="M36" s="31"/>
    </row>
    <row r="37" spans="1:13" ht="21.65" customHeight="1" x14ac:dyDescent="0.35">
      <c r="A37" s="41" t="s">
        <v>41</v>
      </c>
      <c r="B37" s="42"/>
      <c r="C37" s="42"/>
      <c r="D37" s="42"/>
      <c r="E37" s="42"/>
      <c r="F37" s="42"/>
      <c r="G37" s="42"/>
      <c r="H37" s="42"/>
      <c r="I37" s="43"/>
      <c r="J37" s="21"/>
      <c r="K37" s="13"/>
      <c r="L37" s="21"/>
      <c r="M37" s="21"/>
    </row>
    <row r="38" spans="1:13" s="32" customFormat="1" ht="78.5" customHeight="1" outlineLevel="1" x14ac:dyDescent="0.35">
      <c r="A38" s="40" t="s">
        <v>41</v>
      </c>
      <c r="B38" s="29" t="s">
        <v>41</v>
      </c>
      <c r="C38" s="23">
        <v>2</v>
      </c>
      <c r="D38" s="30">
        <v>3</v>
      </c>
      <c r="E38" s="24">
        <f t="shared" ref="E38:E39" si="5">C38-D38</f>
        <v>-1</v>
      </c>
      <c r="F38" s="9" t="s">
        <v>145</v>
      </c>
      <c r="G38" s="9" t="s">
        <v>146</v>
      </c>
      <c r="H38" s="9" t="s">
        <v>147</v>
      </c>
      <c r="I38" s="35" t="s">
        <v>92</v>
      </c>
      <c r="J38" s="31"/>
      <c r="K38" s="31"/>
      <c r="L38" s="31"/>
      <c r="M38" s="31"/>
    </row>
    <row r="39" spans="1:13" s="32" customFormat="1" ht="62" outlineLevel="1" x14ac:dyDescent="0.35">
      <c r="A39" s="40"/>
      <c r="B39" s="29" t="s">
        <v>42</v>
      </c>
      <c r="C39" s="23" t="s">
        <v>68</v>
      </c>
      <c r="D39" s="30" t="s">
        <v>69</v>
      </c>
      <c r="E39" s="24" t="e">
        <f t="shared" si="5"/>
        <v>#VALUE!</v>
      </c>
      <c r="F39" s="9" t="s">
        <v>148</v>
      </c>
      <c r="G39" s="9" t="s">
        <v>149</v>
      </c>
      <c r="H39" s="9" t="s">
        <v>150</v>
      </c>
      <c r="I39" s="35" t="s">
        <v>86</v>
      </c>
      <c r="J39" s="31"/>
      <c r="K39" s="31"/>
      <c r="L39" s="31"/>
      <c r="M39" s="31"/>
    </row>
    <row r="40" spans="1:13" s="32" customFormat="1" ht="16" outlineLevel="1" x14ac:dyDescent="0.35">
      <c r="A40" s="40"/>
      <c r="B40" s="29" t="s">
        <v>43</v>
      </c>
      <c r="C40" s="33">
        <f>IFERROR(AVERAGE(C38:C39),0)</f>
        <v>2</v>
      </c>
      <c r="D40" s="30">
        <v>3</v>
      </c>
      <c r="E40" s="28">
        <f t="shared" si="1"/>
        <v>-1</v>
      </c>
      <c r="F40" s="30"/>
      <c r="G40" s="30"/>
      <c r="H40" s="30"/>
      <c r="I40" s="30"/>
      <c r="J40" s="31"/>
      <c r="K40" s="31"/>
      <c r="L40" s="31"/>
      <c r="M40" s="31"/>
    </row>
    <row r="41" spans="1:13" ht="21.65" customHeight="1" x14ac:dyDescent="0.35">
      <c r="A41" s="41" t="s">
        <v>60</v>
      </c>
      <c r="B41" s="42"/>
      <c r="C41" s="42"/>
      <c r="D41" s="42"/>
      <c r="E41" s="42"/>
      <c r="F41" s="42"/>
      <c r="G41" s="42"/>
      <c r="H41" s="42"/>
      <c r="I41" s="43"/>
      <c r="J41" s="21"/>
      <c r="K41" s="13"/>
      <c r="L41" s="21"/>
      <c r="M41" s="21"/>
    </row>
    <row r="42" spans="1:13" s="32" customFormat="1" ht="31" outlineLevel="1" x14ac:dyDescent="0.35">
      <c r="A42" s="40" t="s">
        <v>44</v>
      </c>
      <c r="B42" s="29" t="s">
        <v>45</v>
      </c>
      <c r="C42" s="23">
        <v>3</v>
      </c>
      <c r="D42" s="30">
        <v>3</v>
      </c>
      <c r="E42" s="24">
        <f t="shared" ref="E42:E43" si="6">C42-D42</f>
        <v>0</v>
      </c>
      <c r="F42" s="9" t="s">
        <v>153</v>
      </c>
      <c r="G42" s="9" t="s">
        <v>151</v>
      </c>
      <c r="H42" s="9" t="s">
        <v>152</v>
      </c>
      <c r="I42" s="30"/>
      <c r="J42" s="31"/>
      <c r="K42" s="31"/>
      <c r="L42" s="31"/>
      <c r="M42" s="31"/>
    </row>
    <row r="43" spans="1:13" s="32" customFormat="1" ht="46.5" outlineLevel="1" x14ac:dyDescent="0.35">
      <c r="A43" s="40"/>
      <c r="B43" s="29" t="s">
        <v>46</v>
      </c>
      <c r="C43" s="23">
        <v>2</v>
      </c>
      <c r="D43" s="30">
        <v>3</v>
      </c>
      <c r="E43" s="24">
        <f t="shared" si="6"/>
        <v>-1</v>
      </c>
      <c r="F43" s="9" t="s">
        <v>50</v>
      </c>
      <c r="G43" s="9" t="s">
        <v>51</v>
      </c>
      <c r="H43" s="9" t="s">
        <v>77</v>
      </c>
      <c r="I43" s="30"/>
      <c r="J43" s="31"/>
      <c r="K43" s="31"/>
      <c r="L43" s="31"/>
      <c r="M43" s="31"/>
    </row>
    <row r="44" spans="1:13" s="32" customFormat="1" ht="16" outlineLevel="1" x14ac:dyDescent="0.35">
      <c r="A44" s="40"/>
      <c r="B44" s="29" t="s">
        <v>47</v>
      </c>
      <c r="C44" s="33">
        <f>IFERROR(AVERAGE(C42:C43),0)</f>
        <v>2.5</v>
      </c>
      <c r="D44" s="30">
        <v>3</v>
      </c>
      <c r="E44" s="28">
        <f t="shared" si="1"/>
        <v>-0.5</v>
      </c>
      <c r="F44" s="30"/>
      <c r="G44" s="30"/>
      <c r="H44" s="30"/>
      <c r="I44" s="30"/>
      <c r="J44" s="31"/>
      <c r="K44" s="31"/>
      <c r="L44" s="31"/>
      <c r="M44" s="31"/>
    </row>
    <row r="45" spans="1:13" ht="31.9" customHeight="1" x14ac:dyDescent="0.35">
      <c r="B45" s="34"/>
    </row>
    <row r="46" spans="1:13" ht="31.9" customHeight="1" x14ac:dyDescent="0.35">
      <c r="B46" s="22" t="s">
        <v>48</v>
      </c>
      <c r="C46" s="28">
        <f>IFERROR(AVERAGE(C9,C15,C19,C32,C36,C40,C44),0)</f>
        <v>2.4285714285714284</v>
      </c>
      <c r="D46" s="30">
        <v>3</v>
      </c>
      <c r="E46" s="28">
        <f t="shared" ref="E46" si="7">C46-D46</f>
        <v>-0.57142857142857162</v>
      </c>
    </row>
  </sheetData>
  <mergeCells count="15">
    <mergeCell ref="A1:B1"/>
    <mergeCell ref="A38:A40"/>
    <mergeCell ref="A42:A44"/>
    <mergeCell ref="A33:I33"/>
    <mergeCell ref="A37:I37"/>
    <mergeCell ref="A41:I41"/>
    <mergeCell ref="A21:A32"/>
    <mergeCell ref="A17:A19"/>
    <mergeCell ref="A16:I16"/>
    <mergeCell ref="A34:A36"/>
    <mergeCell ref="A7:I7"/>
    <mergeCell ref="A8:A9"/>
    <mergeCell ref="A10:I10"/>
    <mergeCell ref="A11:A15"/>
    <mergeCell ref="A20:I20"/>
  </mergeCells>
  <conditionalFormatting sqref="C8">
    <cfRule type="expression" dxfId="95" priority="202">
      <formula>$C$8 = "N/A"</formula>
    </cfRule>
  </conditionalFormatting>
  <conditionalFormatting sqref="C11">
    <cfRule type="expression" dxfId="94" priority="185">
      <formula>$C$11 = "N/A"</formula>
    </cfRule>
  </conditionalFormatting>
  <conditionalFormatting sqref="C12">
    <cfRule type="expression" dxfId="93" priority="184">
      <formula>$C$12 = "N/A"</formula>
    </cfRule>
  </conditionalFormatting>
  <conditionalFormatting sqref="C13">
    <cfRule type="expression" dxfId="92" priority="183">
      <formula>$C$13 = "N/A"</formula>
    </cfRule>
  </conditionalFormatting>
  <conditionalFormatting sqref="C14">
    <cfRule type="expression" dxfId="91" priority="179">
      <formula>$C$14 = "N/A"</formula>
    </cfRule>
  </conditionalFormatting>
  <conditionalFormatting sqref="C17">
    <cfRule type="expression" dxfId="90" priority="175">
      <formula>$C$17 = "N/A"</formula>
    </cfRule>
  </conditionalFormatting>
  <conditionalFormatting sqref="C18">
    <cfRule type="expression" dxfId="89" priority="171">
      <formula>$C$18 = "N/A"</formula>
    </cfRule>
  </conditionalFormatting>
  <conditionalFormatting sqref="C21">
    <cfRule type="expression" dxfId="88" priority="167">
      <formula>$C$21  = "N/A"</formula>
    </cfRule>
  </conditionalFormatting>
  <conditionalFormatting sqref="C22">
    <cfRule type="expression" dxfId="87" priority="163">
      <formula>$C$22 = "N/A"</formula>
    </cfRule>
  </conditionalFormatting>
  <conditionalFormatting sqref="C23">
    <cfRule type="expression" dxfId="86" priority="159">
      <formula>$C$23  = "N/A"</formula>
    </cfRule>
  </conditionalFormatting>
  <conditionalFormatting sqref="C24">
    <cfRule type="expression" dxfId="85" priority="155">
      <formula>$C$24 = "N/A"</formula>
    </cfRule>
  </conditionalFormatting>
  <conditionalFormatting sqref="C25">
    <cfRule type="expression" dxfId="84" priority="151">
      <formula>$C$25 = "N/A"</formula>
    </cfRule>
  </conditionalFormatting>
  <conditionalFormatting sqref="C26">
    <cfRule type="expression" dxfId="83" priority="147">
      <formula>$C$26 = "N/A"</formula>
    </cfRule>
  </conditionalFormatting>
  <conditionalFormatting sqref="C27">
    <cfRule type="expression" dxfId="82" priority="143">
      <formula>$C$27 = "N/A"</formula>
    </cfRule>
  </conditionalFormatting>
  <conditionalFormatting sqref="C28">
    <cfRule type="expression" dxfId="81" priority="139">
      <formula>$C$28 = "N/A"</formula>
    </cfRule>
  </conditionalFormatting>
  <conditionalFormatting sqref="C29">
    <cfRule type="expression" dxfId="80" priority="135">
      <formula>$C$29 = "N/A"</formula>
    </cfRule>
  </conditionalFormatting>
  <conditionalFormatting sqref="C30">
    <cfRule type="expression" dxfId="79" priority="131">
      <formula>$C$30 = "N/A"</formula>
    </cfRule>
  </conditionalFormatting>
  <conditionalFormatting sqref="C31">
    <cfRule type="expression" dxfId="78" priority="127">
      <formula>$C$31 = "N/A"</formula>
    </cfRule>
  </conditionalFormatting>
  <conditionalFormatting sqref="C34">
    <cfRule type="expression" dxfId="77" priority="123">
      <formula>$C$34 = "N/A"</formula>
    </cfRule>
  </conditionalFormatting>
  <conditionalFormatting sqref="C35">
    <cfRule type="expression" dxfId="76" priority="119">
      <formula>$C$35 = "N/A"</formula>
    </cfRule>
  </conditionalFormatting>
  <conditionalFormatting sqref="C38">
    <cfRule type="expression" dxfId="75" priority="115">
      <formula>$C$38 = "N/A"</formula>
    </cfRule>
  </conditionalFormatting>
  <conditionalFormatting sqref="C39">
    <cfRule type="expression" dxfId="74" priority="111">
      <formula>$C$39 = "N/A"</formula>
    </cfRule>
  </conditionalFormatting>
  <conditionalFormatting sqref="C42">
    <cfRule type="expression" dxfId="73" priority="107">
      <formula>$C$42 = "N/A"</formula>
    </cfRule>
  </conditionalFormatting>
  <conditionalFormatting sqref="C43">
    <cfRule type="expression" dxfId="72" priority="103">
      <formula>$C$43 = "N/A"</formula>
    </cfRule>
  </conditionalFormatting>
  <conditionalFormatting sqref="E8">
    <cfRule type="colorScale" priority="99">
      <colorScale>
        <cfvo type="num" val="-2"/>
        <cfvo type="num" val="-1"/>
        <cfvo type="num" val="0"/>
        <color rgb="FFFF0000"/>
        <color rgb="FFFFC000"/>
        <color rgb="FF63BE7B"/>
      </colorScale>
    </cfRule>
  </conditionalFormatting>
  <conditionalFormatting sqref="E11:E14">
    <cfRule type="colorScale" priority="97">
      <colorScale>
        <cfvo type="num" val="-2"/>
        <cfvo type="num" val="-1"/>
        <cfvo type="num" val="0"/>
        <color rgb="FFFF0000"/>
        <color rgb="FFFFC000"/>
        <color rgb="FF63BE7B"/>
      </colorScale>
    </cfRule>
  </conditionalFormatting>
  <conditionalFormatting sqref="E17:E18">
    <cfRule type="colorScale" priority="96">
      <colorScale>
        <cfvo type="num" val="-2"/>
        <cfvo type="num" val="-1"/>
        <cfvo type="num" val="0"/>
        <color rgb="FFFF0000"/>
        <color rgb="FFFFC000"/>
        <color rgb="FF63BE7B"/>
      </colorScale>
    </cfRule>
  </conditionalFormatting>
  <conditionalFormatting sqref="E21:E31">
    <cfRule type="colorScale" priority="95">
      <colorScale>
        <cfvo type="num" val="-2"/>
        <cfvo type="num" val="-1"/>
        <cfvo type="num" val="0"/>
        <color rgb="FFFF0000"/>
        <color rgb="FFFFC000"/>
        <color rgb="FF63BE7B"/>
      </colorScale>
    </cfRule>
  </conditionalFormatting>
  <conditionalFormatting sqref="E34:E35">
    <cfRule type="colorScale" priority="94">
      <colorScale>
        <cfvo type="num" val="-2"/>
        <cfvo type="num" val="-1"/>
        <cfvo type="num" val="0"/>
        <color rgb="FFFF0000"/>
        <color rgb="FFFFC000"/>
        <color rgb="FF63BE7B"/>
      </colorScale>
    </cfRule>
  </conditionalFormatting>
  <conditionalFormatting sqref="E38:E39">
    <cfRule type="colorScale" priority="93">
      <colorScale>
        <cfvo type="num" val="-2"/>
        <cfvo type="num" val="-1"/>
        <cfvo type="num" val="0"/>
        <color rgb="FFFF0000"/>
        <color rgb="FFFFC000"/>
        <color rgb="FF63BE7B"/>
      </colorScale>
    </cfRule>
  </conditionalFormatting>
  <conditionalFormatting sqref="E42:E43">
    <cfRule type="colorScale" priority="92">
      <colorScale>
        <cfvo type="num" val="-2"/>
        <cfvo type="num" val="-1"/>
        <cfvo type="num" val="0"/>
        <color rgb="FFFF0000"/>
        <color rgb="FFFFC000"/>
        <color rgb="FF63BE7B"/>
      </colorScale>
    </cfRule>
  </conditionalFormatting>
  <conditionalFormatting sqref="F8">
    <cfRule type="expression" dxfId="71" priority="80">
      <formula>$C$8 = 1</formula>
    </cfRule>
  </conditionalFormatting>
  <conditionalFormatting sqref="G8">
    <cfRule type="expression" dxfId="70" priority="79">
      <formula>$C$8 = 2</formula>
    </cfRule>
  </conditionalFormatting>
  <conditionalFormatting sqref="H8">
    <cfRule type="expression" dxfId="69" priority="78">
      <formula>$C$8 = 3</formula>
    </cfRule>
  </conditionalFormatting>
  <conditionalFormatting sqref="F11">
    <cfRule type="expression" dxfId="68" priority="74">
      <formula>$C$11 = 1</formula>
    </cfRule>
  </conditionalFormatting>
  <conditionalFormatting sqref="G11">
    <cfRule type="expression" dxfId="67" priority="73">
      <formula>$C$11 = 2</formula>
    </cfRule>
  </conditionalFormatting>
  <conditionalFormatting sqref="H11">
    <cfRule type="expression" dxfId="66" priority="72">
      <formula>$C$11 = 3</formula>
    </cfRule>
  </conditionalFormatting>
  <conditionalFormatting sqref="F12">
    <cfRule type="expression" dxfId="65" priority="71">
      <formula>$C$12 = 1</formula>
    </cfRule>
  </conditionalFormatting>
  <conditionalFormatting sqref="G12">
    <cfRule type="expression" dxfId="64" priority="70">
      <formula>$C$12 = 2</formula>
    </cfRule>
  </conditionalFormatting>
  <conditionalFormatting sqref="H12">
    <cfRule type="expression" dxfId="63" priority="69">
      <formula>$C$12 = 3</formula>
    </cfRule>
  </conditionalFormatting>
  <conditionalFormatting sqref="F13">
    <cfRule type="expression" dxfId="62" priority="68">
      <formula>$C$13 = 1</formula>
    </cfRule>
  </conditionalFormatting>
  <conditionalFormatting sqref="G13">
    <cfRule type="expression" dxfId="61" priority="67">
      <formula>$C$13 = 2</formula>
    </cfRule>
  </conditionalFormatting>
  <conditionalFormatting sqref="H13">
    <cfRule type="expression" dxfId="60" priority="66">
      <formula>$C$13 = 3</formula>
    </cfRule>
  </conditionalFormatting>
  <conditionalFormatting sqref="F14">
    <cfRule type="expression" dxfId="59" priority="65">
      <formula>$C$14 = 1</formula>
    </cfRule>
  </conditionalFormatting>
  <conditionalFormatting sqref="G14">
    <cfRule type="expression" dxfId="58" priority="64">
      <formula>$C$14 = 2</formula>
    </cfRule>
  </conditionalFormatting>
  <conditionalFormatting sqref="H14">
    <cfRule type="expression" dxfId="57" priority="63">
      <formula>$C$14 = 3</formula>
    </cfRule>
  </conditionalFormatting>
  <conditionalFormatting sqref="F17">
    <cfRule type="expression" dxfId="56" priority="62">
      <formula>$C$17 = 1</formula>
    </cfRule>
  </conditionalFormatting>
  <conditionalFormatting sqref="G17">
    <cfRule type="expression" dxfId="55" priority="61">
      <formula>$C$17 = 2</formula>
    </cfRule>
  </conditionalFormatting>
  <conditionalFormatting sqref="H17">
    <cfRule type="expression" dxfId="54" priority="60">
      <formula>$C$17 = 3</formula>
    </cfRule>
  </conditionalFormatting>
  <conditionalFormatting sqref="F18">
    <cfRule type="expression" dxfId="53" priority="59">
      <formula>$C$18 = 1</formula>
    </cfRule>
  </conditionalFormatting>
  <conditionalFormatting sqref="G18">
    <cfRule type="expression" dxfId="52" priority="58">
      <formula>$C$18 = 2</formula>
    </cfRule>
  </conditionalFormatting>
  <conditionalFormatting sqref="H18">
    <cfRule type="expression" dxfId="51" priority="57">
      <formula>$C$18 = 3</formula>
    </cfRule>
  </conditionalFormatting>
  <conditionalFormatting sqref="F21">
    <cfRule type="expression" dxfId="50" priority="56">
      <formula>$C$21 = 1</formula>
    </cfRule>
  </conditionalFormatting>
  <conditionalFormatting sqref="G21">
    <cfRule type="expression" dxfId="49" priority="55">
      <formula>$C$21 = 2</formula>
    </cfRule>
  </conditionalFormatting>
  <conditionalFormatting sqref="H21">
    <cfRule type="expression" dxfId="48" priority="54">
      <formula>$C$21 = 3</formula>
    </cfRule>
  </conditionalFormatting>
  <conditionalFormatting sqref="F22">
    <cfRule type="expression" dxfId="47" priority="53">
      <formula>$C$22 = 1</formula>
    </cfRule>
  </conditionalFormatting>
  <conditionalFormatting sqref="G22">
    <cfRule type="expression" dxfId="46" priority="52">
      <formula>$C$22 = 2</formula>
    </cfRule>
  </conditionalFormatting>
  <conditionalFormatting sqref="H22">
    <cfRule type="expression" dxfId="45" priority="51">
      <formula>$C$22 = 3</formula>
    </cfRule>
  </conditionalFormatting>
  <conditionalFormatting sqref="F23">
    <cfRule type="expression" dxfId="44" priority="50">
      <formula>$C$23 = 1</formula>
    </cfRule>
  </conditionalFormatting>
  <conditionalFormatting sqref="G23">
    <cfRule type="expression" dxfId="43" priority="49">
      <formula>$C$23 = 2</formula>
    </cfRule>
  </conditionalFormatting>
  <conditionalFormatting sqref="H23">
    <cfRule type="expression" dxfId="42" priority="48">
      <formula>$C$23 = 3</formula>
    </cfRule>
  </conditionalFormatting>
  <conditionalFormatting sqref="F24">
    <cfRule type="expression" dxfId="41" priority="47">
      <formula>$C$24 = 1</formula>
    </cfRule>
  </conditionalFormatting>
  <conditionalFormatting sqref="F25">
    <cfRule type="expression" dxfId="40" priority="46">
      <formula>$C$25 = 1</formula>
    </cfRule>
  </conditionalFormatting>
  <conditionalFormatting sqref="G25">
    <cfRule type="expression" dxfId="39" priority="45">
      <formula>$C$25 = 2</formula>
    </cfRule>
  </conditionalFormatting>
  <conditionalFormatting sqref="H25">
    <cfRule type="expression" dxfId="38" priority="44">
      <formula>$C$25 = 3</formula>
    </cfRule>
  </conditionalFormatting>
  <conditionalFormatting sqref="F26">
    <cfRule type="expression" dxfId="37" priority="43">
      <formula>$C$26 = 1</formula>
    </cfRule>
  </conditionalFormatting>
  <conditionalFormatting sqref="G26">
    <cfRule type="expression" dxfId="36" priority="42">
      <formula>$C$26 = 2</formula>
    </cfRule>
  </conditionalFormatting>
  <conditionalFormatting sqref="H26">
    <cfRule type="expression" dxfId="35" priority="41">
      <formula>$C$26 = 3</formula>
    </cfRule>
  </conditionalFormatting>
  <conditionalFormatting sqref="F27">
    <cfRule type="expression" dxfId="34" priority="40">
      <formula>$C$27 = 1</formula>
    </cfRule>
  </conditionalFormatting>
  <conditionalFormatting sqref="G27">
    <cfRule type="expression" dxfId="33" priority="39">
      <formula>$C$27 = 2</formula>
    </cfRule>
  </conditionalFormatting>
  <conditionalFormatting sqref="H27">
    <cfRule type="expression" dxfId="32" priority="38">
      <formula>$C$27 = 3</formula>
    </cfRule>
  </conditionalFormatting>
  <conditionalFormatting sqref="F30">
    <cfRule type="expression" dxfId="31" priority="34">
      <formula>$C$30 = 1</formula>
    </cfRule>
  </conditionalFormatting>
  <conditionalFormatting sqref="G30">
    <cfRule type="expression" dxfId="30" priority="33">
      <formula>$C$30 = 2</formula>
    </cfRule>
  </conditionalFormatting>
  <conditionalFormatting sqref="H30">
    <cfRule type="expression" dxfId="29" priority="32">
      <formula>$C$30 = 3</formula>
    </cfRule>
  </conditionalFormatting>
  <conditionalFormatting sqref="F31">
    <cfRule type="expression" dxfId="28" priority="31">
      <formula>$C$31 = 1</formula>
    </cfRule>
  </conditionalFormatting>
  <conditionalFormatting sqref="G31">
    <cfRule type="expression" dxfId="27" priority="30">
      <formula>$C$31 = 2</formula>
    </cfRule>
  </conditionalFormatting>
  <conditionalFormatting sqref="H31">
    <cfRule type="expression" dxfId="26" priority="29">
      <formula>$C$31 = 3</formula>
    </cfRule>
  </conditionalFormatting>
  <conditionalFormatting sqref="F28">
    <cfRule type="expression" dxfId="25" priority="28">
      <formula>$C$28 = 1</formula>
    </cfRule>
  </conditionalFormatting>
  <conditionalFormatting sqref="G28">
    <cfRule type="expression" dxfId="24" priority="27">
      <formula>$C$28 = 2</formula>
    </cfRule>
  </conditionalFormatting>
  <conditionalFormatting sqref="H28">
    <cfRule type="expression" dxfId="23" priority="26">
      <formula>$C$28 = 3</formula>
    </cfRule>
  </conditionalFormatting>
  <conditionalFormatting sqref="G24">
    <cfRule type="expression" dxfId="22" priority="25">
      <formula>$C$24 = 2</formula>
    </cfRule>
  </conditionalFormatting>
  <conditionalFormatting sqref="F34">
    <cfRule type="expression" dxfId="21" priority="22">
      <formula>$C$34 = 1</formula>
    </cfRule>
  </conditionalFormatting>
  <conditionalFormatting sqref="G34">
    <cfRule type="expression" dxfId="20" priority="21">
      <formula>$C$34 = 2</formula>
    </cfRule>
  </conditionalFormatting>
  <conditionalFormatting sqref="F35">
    <cfRule type="expression" dxfId="19" priority="20">
      <formula>$C$35 = 1</formula>
    </cfRule>
  </conditionalFormatting>
  <conditionalFormatting sqref="G35">
    <cfRule type="expression" dxfId="18" priority="19">
      <formula>$C$35 = 2</formula>
    </cfRule>
  </conditionalFormatting>
  <conditionalFormatting sqref="H35">
    <cfRule type="expression" dxfId="17" priority="18">
      <formula>$C$35 = 3</formula>
    </cfRule>
  </conditionalFormatting>
  <conditionalFormatting sqref="H34">
    <cfRule type="expression" dxfId="16" priority="17">
      <formula>$C$34 = 3</formula>
    </cfRule>
  </conditionalFormatting>
  <conditionalFormatting sqref="F38">
    <cfRule type="expression" dxfId="15" priority="16">
      <formula>$C$38 = 1</formula>
    </cfRule>
  </conditionalFormatting>
  <conditionalFormatting sqref="G38">
    <cfRule type="expression" dxfId="14" priority="15">
      <formula>$C$38 = 2</formula>
    </cfRule>
  </conditionalFormatting>
  <conditionalFormatting sqref="H38">
    <cfRule type="expression" dxfId="13" priority="14">
      <formula>$C$38 = 3</formula>
    </cfRule>
  </conditionalFormatting>
  <conditionalFormatting sqref="F39">
    <cfRule type="expression" dxfId="12" priority="13">
      <formula>$C$39 = 1</formula>
    </cfRule>
  </conditionalFormatting>
  <conditionalFormatting sqref="G39">
    <cfRule type="expression" dxfId="11" priority="12">
      <formula>$C$39 = 2</formula>
    </cfRule>
  </conditionalFormatting>
  <conditionalFormatting sqref="H39">
    <cfRule type="expression" dxfId="10" priority="11">
      <formula>$C$39 = 3</formula>
    </cfRule>
  </conditionalFormatting>
  <conditionalFormatting sqref="F42">
    <cfRule type="expression" dxfId="9" priority="10">
      <formula>$C$42 = 1</formula>
    </cfRule>
  </conditionalFormatting>
  <conditionalFormatting sqref="G42">
    <cfRule type="expression" dxfId="8" priority="9">
      <formula>$C$42 = 2</formula>
    </cfRule>
  </conditionalFormatting>
  <conditionalFormatting sqref="H42">
    <cfRule type="expression" dxfId="7" priority="8">
      <formula>$C$42 = 3</formula>
    </cfRule>
  </conditionalFormatting>
  <conditionalFormatting sqref="F43">
    <cfRule type="expression" dxfId="6" priority="7">
      <formula>$C$43 = 1</formula>
    </cfRule>
  </conditionalFormatting>
  <conditionalFormatting sqref="G43">
    <cfRule type="expression" dxfId="5" priority="6">
      <formula>$C$43 = 2</formula>
    </cfRule>
  </conditionalFormatting>
  <conditionalFormatting sqref="H43">
    <cfRule type="expression" dxfId="4" priority="5">
      <formula>$C$43 = 3</formula>
    </cfRule>
  </conditionalFormatting>
  <conditionalFormatting sqref="F29">
    <cfRule type="expression" dxfId="3" priority="4">
      <formula>$C$29 = 1</formula>
    </cfRule>
  </conditionalFormatting>
  <conditionalFormatting sqref="G29">
    <cfRule type="expression" dxfId="2" priority="3">
      <formula>$C$29 = 2</formula>
    </cfRule>
  </conditionalFormatting>
  <conditionalFormatting sqref="H29">
    <cfRule type="expression" dxfId="1" priority="2">
      <formula>$C$29 = 3</formula>
    </cfRule>
  </conditionalFormatting>
  <conditionalFormatting sqref="H24">
    <cfRule type="expression" dxfId="0" priority="1">
      <formula>$C$24 = 3</formula>
    </cfRule>
  </conditionalFormatting>
  <dataValidations count="1">
    <dataValidation type="list" allowBlank="1" showInputMessage="1" showErrorMessage="1" sqref="C42:C43 C17:C18 C21:C31 C34:C35 C38:C39 C8 C11:C14" xr:uid="{00000000-0002-0000-0100-000000000000}">
      <formula1>"N/A, 1,2,3"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0" r:id="rId4" name="Button 38">
              <controlPr defaultSize="0" print="0" autoFill="0" autoPict="0" macro="[0]!ResetAllScoresMacro">
                <anchor moveWithCells="1" sizeWithCells="1">
                  <from>
                    <xdr:col>8</xdr:col>
                    <xdr:colOff>241300</xdr:colOff>
                    <xdr:row>4</xdr:row>
                    <xdr:rowOff>0</xdr:rowOff>
                  </from>
                  <to>
                    <xdr:col>8</xdr:col>
                    <xdr:colOff>2108200</xdr:colOff>
                    <xdr:row>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E1:U49"/>
  <sheetViews>
    <sheetView topLeftCell="B1" zoomScale="80" zoomScaleNormal="80" workbookViewId="0">
      <selection activeCell="M12" sqref="M12:V14"/>
    </sheetView>
  </sheetViews>
  <sheetFormatPr defaultRowHeight="15.5" x14ac:dyDescent="0.35"/>
  <cols>
    <col min="13" max="13" width="15.58203125" bestFit="1" customWidth="1"/>
    <col min="14" max="14" width="13.25" bestFit="1" customWidth="1"/>
  </cols>
  <sheetData>
    <row r="1" spans="13:21" x14ac:dyDescent="0.35">
      <c r="M1" s="12" t="s">
        <v>61</v>
      </c>
      <c r="N1" s="12" t="s">
        <v>62</v>
      </c>
    </row>
    <row r="2" spans="13:21" ht="15.75" customHeight="1" x14ac:dyDescent="0.35">
      <c r="M2" t="s">
        <v>14</v>
      </c>
      <c r="N2" s="36">
        <f>TPM!C9</f>
        <v>2</v>
      </c>
    </row>
    <row r="3" spans="13:21" x14ac:dyDescent="0.35">
      <c r="M3" t="s">
        <v>17</v>
      </c>
      <c r="N3" s="36">
        <f>TPM!C15</f>
        <v>2.5</v>
      </c>
    </row>
    <row r="4" spans="13:21" x14ac:dyDescent="0.35">
      <c r="M4" t="s">
        <v>23</v>
      </c>
      <c r="N4" s="36">
        <f>TPM!C19</f>
        <v>3</v>
      </c>
    </row>
    <row r="5" spans="13:21" x14ac:dyDescent="0.35">
      <c r="M5" t="s">
        <v>26</v>
      </c>
      <c r="N5" s="36">
        <f>TPM!C32</f>
        <v>3</v>
      </c>
    </row>
    <row r="6" spans="13:21" x14ac:dyDescent="0.35">
      <c r="M6" s="1" t="s">
        <v>39</v>
      </c>
      <c r="N6" s="36">
        <f>TPM!C36</f>
        <v>2</v>
      </c>
    </row>
    <row r="7" spans="13:21" ht="15.75" customHeight="1" x14ac:dyDescent="0.35">
      <c r="M7" t="s">
        <v>41</v>
      </c>
      <c r="N7" s="36">
        <f>TPM!C40</f>
        <v>2</v>
      </c>
    </row>
    <row r="8" spans="13:21" ht="15.75" customHeight="1" x14ac:dyDescent="0.35">
      <c r="M8" t="s">
        <v>44</v>
      </c>
      <c r="N8" s="36">
        <f>TPM!C44</f>
        <v>2.5</v>
      </c>
    </row>
    <row r="9" spans="13:21" x14ac:dyDescent="0.35">
      <c r="M9" s="1" t="s">
        <v>78</v>
      </c>
      <c r="N9" s="36">
        <f>TPM!C46</f>
        <v>2.4285714285714284</v>
      </c>
    </row>
    <row r="12" spans="13:21" x14ac:dyDescent="0.35">
      <c r="M12" s="12"/>
      <c r="R12" s="1"/>
      <c r="U12" s="1"/>
    </row>
    <row r="13" spans="13:21" x14ac:dyDescent="0.35">
      <c r="M13" s="12"/>
      <c r="N13" s="36"/>
      <c r="O13" s="36"/>
      <c r="P13" s="36"/>
      <c r="Q13" s="36"/>
      <c r="R13" s="36"/>
      <c r="S13" s="36"/>
      <c r="T13" s="36"/>
      <c r="U13" s="36"/>
    </row>
    <row r="43" spans="5:5" x14ac:dyDescent="0.35">
      <c r="E43">
        <v>0</v>
      </c>
    </row>
    <row r="44" spans="5:5" x14ac:dyDescent="0.35">
      <c r="E44">
        <v>0.5</v>
      </c>
    </row>
    <row r="45" spans="5:5" x14ac:dyDescent="0.35">
      <c r="E45">
        <v>1</v>
      </c>
    </row>
    <row r="46" spans="5:5" x14ac:dyDescent="0.35">
      <c r="E46">
        <v>1.5</v>
      </c>
    </row>
    <row r="47" spans="5:5" x14ac:dyDescent="0.35">
      <c r="E47">
        <v>2</v>
      </c>
    </row>
    <row r="48" spans="5:5" x14ac:dyDescent="0.35">
      <c r="E48">
        <v>2.5</v>
      </c>
    </row>
    <row r="49" spans="5:5" x14ac:dyDescent="0.35">
      <c r="E49">
        <v>3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B010739DD52E74481E3C4F4D37494E4" ma:contentTypeVersion="2" ma:contentTypeDescription="Create a new document." ma:contentTypeScope="" ma:versionID="c1b6be26c7219c1a426840e07f836637">
  <xsd:schema xmlns:xsd="http://www.w3.org/2001/XMLSchema" xmlns:xs="http://www.w3.org/2001/XMLSchema" xmlns:p="http://schemas.microsoft.com/office/2006/metadata/properties" xmlns:ns2="d62d58cf-6a11-45f4-8007-cb2b8f3eaa12" targetNamespace="http://schemas.microsoft.com/office/2006/metadata/properties" ma:root="true" ma:fieldsID="887373df25cd55fd8e3faa93a7570edd" ns2:_="">
    <xsd:import namespace="d62d58cf-6a11-45f4-8007-cb2b8f3eaa1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2d58cf-6a11-45f4-8007-cb2b8f3eaa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0BEF98-5893-4F73-A257-D8F6E723A9D4}">
  <ds:schemaRefs>
    <ds:schemaRef ds:uri="http://purl.org/dc/elements/1.1/"/>
    <ds:schemaRef ds:uri="http://schemas.microsoft.com/office/2006/metadata/properties"/>
    <ds:schemaRef ds:uri="http://schemas.microsoft.com/sharepoint/v3"/>
    <ds:schemaRef ds:uri="4d3ba7be-e69a-450e-a1b9-28433a647967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740418d9-2f2a-41b0-b999-8d959a2a206f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DAA06AB-829E-4B57-99A6-5556676D8EA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A028DB8-4EC6-4932-9992-0C05C5984E0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TPM</vt:lpstr>
      <vt:lpstr>Overall Average</vt:lpstr>
    </vt:vector>
  </TitlesOfParts>
  <Manager/>
  <Company>AccuRev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Agile Maturity Matrix for Teams</dc:title>
  <dc:subject/>
  <dc:creator>Test Process Evolution Team</dc:creator>
  <cp:keywords/>
  <dc:description/>
  <cp:lastModifiedBy>Pillai, Deepa</cp:lastModifiedBy>
  <cp:revision/>
  <dcterms:created xsi:type="dcterms:W3CDTF">2012-11-15T15:03:45Z</dcterms:created>
  <dcterms:modified xsi:type="dcterms:W3CDTF">2021-04-29T11:45:05Z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0x010100EB010739DD52E74481E3C4F4D37494E4</vt:lpwstr>
  </property>
  <property fmtid="{D5CDD505-2E9C-101B-9397-08002B2CF9AE}" pid="3" name="Order">
    <vt:r8>9500</vt:r8>
  </property>
  <property fmtid="{D5CDD505-2E9C-101B-9397-08002B2CF9AE}" pid="4" name="TemplateUrl">
    <vt:lpwstr/>
  </property>
  <property fmtid="{D5CDD505-2E9C-101B-9397-08002B2CF9AE}" pid="5" name="xd_Signature">
    <vt:bool>false</vt:bool>
  </property>
  <property fmtid="{D5CDD505-2E9C-101B-9397-08002B2CF9AE}" pid="6" name="xd_ProgID">
    <vt:lpwstr/>
  </property>
</Properties>
</file>